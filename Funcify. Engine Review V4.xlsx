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9fa0f848fbb13414/Bureaublad/Func. Orthomoleculair/FUNCIFY/Funcify - suppletie beoordeling/"/>
    </mc:Choice>
  </mc:AlternateContent>
  <xr:revisionPtr revIDLastSave="9" documentId="8_{00E20DD4-89F2-4A51-8BAC-96438632FF3B}" xr6:coauthVersionLast="47" xr6:coauthVersionMax="47" xr10:uidLastSave="{4987F21F-4BF0-4CB8-B2C3-B25065F395C7}"/>
  <bookViews>
    <workbookView xWindow="-108" yWindow="-108" windowWidth="23256" windowHeight="12456" tabRatio="500" firstSheet="2" activeTab="4" xr2:uid="{00000000-000D-0000-FFFF-FFFF00000000}"/>
  </bookViews>
  <sheets>
    <sheet name="Engine_review_score" sheetId="1" r:id="rId1"/>
    <sheet name="Category_modules" sheetId="2" r:id="rId2"/>
    <sheet name="Context_Flag_Rules" sheetId="3" r:id="rId3"/>
    <sheet name="Engine_weight_explained" sheetId="6" r:id="rId4"/>
    <sheet name="Category_weight_explained" sheetId="7" r:id="rId5"/>
    <sheet name="Settings" sheetId="4" r:id="rId6"/>
  </sheets>
  <definedNames>
    <definedName name="AppliesTo_list">Settings!$A$2:$A$13</definedName>
    <definedName name="Evidence_list">Settings!$B$2:$B$11</definedName>
    <definedName name="FailureType_List">Settings!$D$2:$D$6</definedName>
    <definedName name="Severity_List">Settings!$C$2:$C$6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54" i="1" l="1"/>
  <c r="B153" i="1"/>
  <c r="B152" i="1"/>
  <c r="B137" i="1"/>
  <c r="B136" i="1"/>
  <c r="B134" i="1"/>
  <c r="B133" i="1"/>
  <c r="B129" i="1"/>
  <c r="B144" i="1" s="1"/>
  <c r="J123" i="1"/>
  <c r="I123" i="1"/>
  <c r="L123" i="1" s="1"/>
  <c r="J122" i="1"/>
  <c r="I122" i="1"/>
  <c r="L122" i="1" s="1"/>
  <c r="J121" i="1"/>
  <c r="I121" i="1"/>
  <c r="L121" i="1" s="1"/>
  <c r="J120" i="1"/>
  <c r="I120" i="1"/>
  <c r="L120" i="1" s="1"/>
  <c r="J119" i="1"/>
  <c r="I119" i="1"/>
  <c r="L119" i="1" s="1"/>
  <c r="J118" i="1"/>
  <c r="I118" i="1"/>
  <c r="L118" i="1" s="1"/>
  <c r="J117" i="1"/>
  <c r="I117" i="1"/>
  <c r="L117" i="1" s="1"/>
  <c r="J115" i="1"/>
  <c r="I115" i="1"/>
  <c r="L115" i="1" s="1"/>
  <c r="J114" i="1"/>
  <c r="I114" i="1"/>
  <c r="L114" i="1" s="1"/>
  <c r="J113" i="1"/>
  <c r="I113" i="1"/>
  <c r="L113" i="1" s="1"/>
  <c r="J112" i="1"/>
  <c r="I112" i="1"/>
  <c r="L112" i="1" s="1"/>
  <c r="J111" i="1"/>
  <c r="I111" i="1"/>
  <c r="L111" i="1" s="1"/>
  <c r="J110" i="1"/>
  <c r="I110" i="1"/>
  <c r="L110" i="1" s="1"/>
  <c r="J109" i="1"/>
  <c r="I109" i="1"/>
  <c r="L109" i="1" s="1"/>
  <c r="J108" i="1"/>
  <c r="I108" i="1"/>
  <c r="L108" i="1" s="1"/>
  <c r="J107" i="1"/>
  <c r="I107" i="1"/>
  <c r="L107" i="1" s="1"/>
  <c r="J106" i="1"/>
  <c r="I106" i="1"/>
  <c r="L106" i="1" s="1"/>
  <c r="J105" i="1"/>
  <c r="I105" i="1"/>
  <c r="L105" i="1" s="1"/>
  <c r="J104" i="1"/>
  <c r="I104" i="1"/>
  <c r="L104" i="1" s="1"/>
  <c r="J102" i="1"/>
  <c r="I102" i="1"/>
  <c r="L102" i="1" s="1"/>
  <c r="J101" i="1"/>
  <c r="I101" i="1"/>
  <c r="L101" i="1" s="1"/>
  <c r="J100" i="1"/>
  <c r="I100" i="1"/>
  <c r="L100" i="1" s="1"/>
  <c r="J99" i="1"/>
  <c r="I99" i="1"/>
  <c r="L99" i="1" s="1"/>
  <c r="J98" i="1"/>
  <c r="I98" i="1"/>
  <c r="L98" i="1" s="1"/>
  <c r="J97" i="1"/>
  <c r="I97" i="1"/>
  <c r="L97" i="1" s="1"/>
  <c r="J96" i="1"/>
  <c r="I96" i="1"/>
  <c r="L96" i="1" s="1"/>
  <c r="J95" i="1"/>
  <c r="I95" i="1"/>
  <c r="L95" i="1" s="1"/>
  <c r="J94" i="1"/>
  <c r="I94" i="1"/>
  <c r="L94" i="1" s="1"/>
  <c r="J93" i="1"/>
  <c r="I93" i="1"/>
  <c r="L93" i="1" s="1"/>
  <c r="J92" i="1"/>
  <c r="I92" i="1"/>
  <c r="L92" i="1" s="1"/>
  <c r="J90" i="1"/>
  <c r="I90" i="1"/>
  <c r="L90" i="1" s="1"/>
  <c r="J89" i="1"/>
  <c r="I89" i="1"/>
  <c r="L89" i="1" s="1"/>
  <c r="J88" i="1"/>
  <c r="I88" i="1"/>
  <c r="L88" i="1" s="1"/>
  <c r="J87" i="1"/>
  <c r="I87" i="1"/>
  <c r="L87" i="1" s="1"/>
  <c r="J86" i="1"/>
  <c r="I86" i="1"/>
  <c r="L86" i="1" s="1"/>
  <c r="J85" i="1"/>
  <c r="I85" i="1"/>
  <c r="L85" i="1" s="1"/>
  <c r="J84" i="1"/>
  <c r="I84" i="1"/>
  <c r="L84" i="1" s="1"/>
  <c r="J83" i="1"/>
  <c r="I83" i="1"/>
  <c r="L83" i="1" s="1"/>
  <c r="J82" i="1"/>
  <c r="I82" i="1"/>
  <c r="L82" i="1" s="1"/>
  <c r="J81" i="1"/>
  <c r="I81" i="1"/>
  <c r="L81" i="1" s="1"/>
  <c r="J80" i="1"/>
  <c r="I80" i="1"/>
  <c r="L80" i="1" s="1"/>
  <c r="J79" i="1"/>
  <c r="I79" i="1"/>
  <c r="L79" i="1" s="1"/>
  <c r="J77" i="1"/>
  <c r="I77" i="1"/>
  <c r="L77" i="1" s="1"/>
  <c r="J76" i="1"/>
  <c r="I76" i="1"/>
  <c r="L76" i="1" s="1"/>
  <c r="J75" i="1"/>
  <c r="I75" i="1"/>
  <c r="L75" i="1" s="1"/>
  <c r="J74" i="1"/>
  <c r="I74" i="1"/>
  <c r="L74" i="1" s="1"/>
  <c r="J73" i="1"/>
  <c r="I73" i="1"/>
  <c r="L73" i="1" s="1"/>
  <c r="J72" i="1"/>
  <c r="I72" i="1"/>
  <c r="L72" i="1" s="1"/>
  <c r="J71" i="1"/>
  <c r="I71" i="1"/>
  <c r="L71" i="1" s="1"/>
  <c r="J70" i="1"/>
  <c r="I70" i="1"/>
  <c r="L70" i="1" s="1"/>
  <c r="J69" i="1"/>
  <c r="I69" i="1"/>
  <c r="L69" i="1" s="1"/>
  <c r="J68" i="1"/>
  <c r="I68" i="1"/>
  <c r="L68" i="1" s="1"/>
  <c r="J67" i="1"/>
  <c r="I67" i="1"/>
  <c r="L67" i="1" s="1"/>
  <c r="J66" i="1"/>
  <c r="I66" i="1"/>
  <c r="L66" i="1" s="1"/>
  <c r="J65" i="1"/>
  <c r="I65" i="1"/>
  <c r="L65" i="1" s="1"/>
  <c r="J64" i="1"/>
  <c r="I64" i="1"/>
  <c r="L64" i="1" s="1"/>
  <c r="J63" i="1"/>
  <c r="I63" i="1"/>
  <c r="L63" i="1" s="1"/>
  <c r="J62" i="1"/>
  <c r="I62" i="1"/>
  <c r="L62" i="1" s="1"/>
  <c r="J61" i="1"/>
  <c r="I61" i="1"/>
  <c r="L61" i="1" s="1"/>
  <c r="J60" i="1"/>
  <c r="I60" i="1"/>
  <c r="L60" i="1" s="1"/>
  <c r="J59" i="1"/>
  <c r="I59" i="1"/>
  <c r="L59" i="1" s="1"/>
  <c r="J58" i="1"/>
  <c r="I58" i="1"/>
  <c r="L58" i="1" s="1"/>
  <c r="J57" i="1"/>
  <c r="I57" i="1"/>
  <c r="L57" i="1" s="1"/>
  <c r="J56" i="1"/>
  <c r="I56" i="1"/>
  <c r="L56" i="1" s="1"/>
  <c r="J55" i="1"/>
  <c r="I55" i="1"/>
  <c r="L55" i="1" s="1"/>
  <c r="J54" i="1"/>
  <c r="I54" i="1"/>
  <c r="L54" i="1" s="1"/>
  <c r="J52" i="1"/>
  <c r="I52" i="1"/>
  <c r="L52" i="1" s="1"/>
  <c r="J51" i="1"/>
  <c r="I51" i="1"/>
  <c r="L51" i="1" s="1"/>
  <c r="J50" i="1"/>
  <c r="I50" i="1"/>
  <c r="L50" i="1" s="1"/>
  <c r="J49" i="1"/>
  <c r="I49" i="1"/>
  <c r="L49" i="1" s="1"/>
  <c r="J48" i="1"/>
  <c r="I48" i="1"/>
  <c r="L48" i="1" s="1"/>
  <c r="J47" i="1"/>
  <c r="I47" i="1"/>
  <c r="L47" i="1" s="1"/>
  <c r="J46" i="1"/>
  <c r="I46" i="1"/>
  <c r="L46" i="1" s="1"/>
  <c r="J45" i="1"/>
  <c r="I45" i="1"/>
  <c r="L45" i="1" s="1"/>
  <c r="J44" i="1"/>
  <c r="I44" i="1"/>
  <c r="L44" i="1" s="1"/>
  <c r="J43" i="1"/>
  <c r="I43" i="1"/>
  <c r="L43" i="1" s="1"/>
  <c r="J42" i="1"/>
  <c r="I42" i="1"/>
  <c r="L42" i="1" s="1"/>
  <c r="J41" i="1"/>
  <c r="I41" i="1"/>
  <c r="L41" i="1" s="1"/>
  <c r="J40" i="1"/>
  <c r="I40" i="1"/>
  <c r="L40" i="1" s="1"/>
  <c r="J39" i="1"/>
  <c r="I39" i="1"/>
  <c r="L39" i="1" s="1"/>
  <c r="J38" i="1"/>
  <c r="I38" i="1"/>
  <c r="L38" i="1" s="1"/>
  <c r="J37" i="1"/>
  <c r="I37" i="1"/>
  <c r="B128" i="1" s="1"/>
  <c r="B27" i="1"/>
  <c r="B26" i="1"/>
  <c r="B10" i="1" s="1"/>
  <c r="B155" i="1" s="1"/>
  <c r="B25" i="1"/>
  <c r="B24" i="1"/>
  <c r="B23" i="1"/>
  <c r="B22" i="1"/>
  <c r="B21" i="1"/>
  <c r="B20" i="1"/>
  <c r="B19" i="1"/>
  <c r="B18" i="1"/>
  <c r="B17" i="1"/>
  <c r="B16" i="1"/>
  <c r="B15" i="1"/>
  <c r="B11" i="1"/>
  <c r="B8" i="1"/>
  <c r="B137" i="2"/>
  <c r="B141" i="1" s="1"/>
  <c r="I131" i="2"/>
  <c r="I130" i="2"/>
  <c r="H130" i="2"/>
  <c r="K131" i="2" s="1"/>
  <c r="I129" i="2"/>
  <c r="I128" i="2"/>
  <c r="H128" i="2"/>
  <c r="K129" i="2" s="1"/>
  <c r="I127" i="2"/>
  <c r="I126" i="2"/>
  <c r="H126" i="2"/>
  <c r="K127" i="2" s="1"/>
  <c r="I125" i="2"/>
  <c r="I124" i="2"/>
  <c r="H124" i="2"/>
  <c r="K125" i="2" s="1"/>
  <c r="I123" i="2"/>
  <c r="K122" i="2"/>
  <c r="I122" i="2"/>
  <c r="H122" i="2"/>
  <c r="K123" i="2" s="1"/>
  <c r="I120" i="2"/>
  <c r="H120" i="2"/>
  <c r="K121" i="2" s="1"/>
  <c r="I119" i="2"/>
  <c r="I118" i="2"/>
  <c r="H118" i="2"/>
  <c r="K119" i="2" s="1"/>
  <c r="I117" i="2"/>
  <c r="I116" i="2"/>
  <c r="H116" i="2"/>
  <c r="K117" i="2" s="1"/>
  <c r="I115" i="2"/>
  <c r="I114" i="2"/>
  <c r="H114" i="2"/>
  <c r="K115" i="2" s="1"/>
  <c r="I113" i="2"/>
  <c r="I112" i="2"/>
  <c r="H112" i="2"/>
  <c r="K113" i="2" s="1"/>
  <c r="K111" i="2"/>
  <c r="I111" i="2"/>
  <c r="I109" i="2"/>
  <c r="I108" i="2"/>
  <c r="H108" i="2"/>
  <c r="K109" i="2" s="1"/>
  <c r="I107" i="2"/>
  <c r="I106" i="2"/>
  <c r="H106" i="2"/>
  <c r="K107" i="2" s="1"/>
  <c r="I105" i="2"/>
  <c r="I104" i="2"/>
  <c r="H104" i="2"/>
  <c r="K105" i="2" s="1"/>
  <c r="I103" i="2"/>
  <c r="I102" i="2"/>
  <c r="H102" i="2"/>
  <c r="K103" i="2" s="1"/>
  <c r="I101" i="2"/>
  <c r="K100" i="2"/>
  <c r="I100" i="2"/>
  <c r="H100" i="2"/>
  <c r="K101" i="2" s="1"/>
  <c r="I98" i="2"/>
  <c r="H98" i="2"/>
  <c r="K99" i="2" s="1"/>
  <c r="I97" i="2"/>
  <c r="I96" i="2"/>
  <c r="H96" i="2"/>
  <c r="K97" i="2" s="1"/>
  <c r="I95" i="2"/>
  <c r="I94" i="2"/>
  <c r="H94" i="2"/>
  <c r="K95" i="2" s="1"/>
  <c r="I93" i="2"/>
  <c r="I92" i="2"/>
  <c r="H92" i="2"/>
  <c r="K93" i="2" s="1"/>
  <c r="I91" i="2"/>
  <c r="I90" i="2"/>
  <c r="H90" i="2"/>
  <c r="K91" i="2" s="1"/>
  <c r="K89" i="2"/>
  <c r="I89" i="2"/>
  <c r="I87" i="2"/>
  <c r="I86" i="2"/>
  <c r="H86" i="2"/>
  <c r="K87" i="2" s="1"/>
  <c r="I85" i="2"/>
  <c r="I84" i="2"/>
  <c r="H84" i="2"/>
  <c r="K85" i="2" s="1"/>
  <c r="I83" i="2"/>
  <c r="I82" i="2"/>
  <c r="H82" i="2"/>
  <c r="K83" i="2" s="1"/>
  <c r="I81" i="2"/>
  <c r="I80" i="2"/>
  <c r="H80" i="2"/>
  <c r="K81" i="2" s="1"/>
  <c r="I79" i="2"/>
  <c r="K78" i="2"/>
  <c r="I78" i="2"/>
  <c r="H78" i="2"/>
  <c r="K79" i="2" s="1"/>
  <c r="I76" i="2"/>
  <c r="H76" i="2"/>
  <c r="K77" i="2" s="1"/>
  <c r="I75" i="2"/>
  <c r="I74" i="2"/>
  <c r="H74" i="2"/>
  <c r="K75" i="2" s="1"/>
  <c r="I73" i="2"/>
  <c r="I72" i="2"/>
  <c r="H72" i="2"/>
  <c r="K73" i="2" s="1"/>
  <c r="I71" i="2"/>
  <c r="I70" i="2"/>
  <c r="H70" i="2"/>
  <c r="K71" i="2" s="1"/>
  <c r="I69" i="2"/>
  <c r="I68" i="2"/>
  <c r="H68" i="2"/>
  <c r="K69" i="2" s="1"/>
  <c r="K67" i="2"/>
  <c r="I67" i="2"/>
  <c r="I65" i="2"/>
  <c r="I64" i="2"/>
  <c r="H64" i="2"/>
  <c r="K65" i="2" s="1"/>
  <c r="I63" i="2"/>
  <c r="I62" i="2"/>
  <c r="H62" i="2"/>
  <c r="K63" i="2" s="1"/>
  <c r="I61" i="2"/>
  <c r="I60" i="2"/>
  <c r="H60" i="2"/>
  <c r="K61" i="2" s="1"/>
  <c r="I59" i="2"/>
  <c r="I58" i="2"/>
  <c r="H58" i="2"/>
  <c r="K59" i="2" s="1"/>
  <c r="I57" i="2"/>
  <c r="I56" i="2"/>
  <c r="H56" i="2"/>
  <c r="K57" i="2" s="1"/>
  <c r="I55" i="2"/>
  <c r="I54" i="2"/>
  <c r="H54" i="2"/>
  <c r="K55" i="2" s="1"/>
  <c r="K53" i="2"/>
  <c r="I53" i="2"/>
  <c r="K52" i="2"/>
  <c r="I50" i="2"/>
  <c r="I49" i="2"/>
  <c r="H49" i="2"/>
  <c r="K49" i="2" s="1"/>
  <c r="I48" i="2"/>
  <c r="I47" i="2"/>
  <c r="H47" i="2"/>
  <c r="K47" i="2" s="1"/>
  <c r="I46" i="2"/>
  <c r="I45" i="2"/>
  <c r="H45" i="2"/>
  <c r="K45" i="2" s="1"/>
  <c r="I44" i="2"/>
  <c r="I43" i="2"/>
  <c r="H43" i="2"/>
  <c r="K43" i="2" s="1"/>
  <c r="I42" i="2"/>
  <c r="I41" i="2"/>
  <c r="H41" i="2"/>
  <c r="K41" i="2" s="1"/>
  <c r="I40" i="2"/>
  <c r="I39" i="2"/>
  <c r="H39" i="2"/>
  <c r="K39" i="2" s="1"/>
  <c r="I38" i="2"/>
  <c r="I37" i="2"/>
  <c r="H37" i="2"/>
  <c r="K37" i="2" s="1"/>
  <c r="K36" i="2"/>
  <c r="K35" i="2"/>
  <c r="I35" i="2"/>
  <c r="H35" i="2"/>
  <c r="I34" i="2"/>
  <c r="K33" i="2"/>
  <c r="I33" i="2"/>
  <c r="H33" i="2"/>
  <c r="I32" i="2"/>
  <c r="K31" i="2"/>
  <c r="I31" i="2"/>
  <c r="H31" i="2"/>
  <c r="I30" i="2"/>
  <c r="K29" i="2"/>
  <c r="I29" i="2"/>
  <c r="H29" i="2"/>
  <c r="I28" i="2"/>
  <c r="K27" i="2"/>
  <c r="I27" i="2"/>
  <c r="H27" i="2"/>
  <c r="I26" i="2"/>
  <c r="K25" i="2"/>
  <c r="I24" i="2"/>
  <c r="I23" i="2"/>
  <c r="H23" i="2"/>
  <c r="K23" i="2" s="1"/>
  <c r="I22" i="2"/>
  <c r="I21" i="2"/>
  <c r="H21" i="2"/>
  <c r="K21" i="2" s="1"/>
  <c r="I20" i="2"/>
  <c r="I19" i="2"/>
  <c r="H19" i="2"/>
  <c r="K19" i="2" s="1"/>
  <c r="I18" i="2"/>
  <c r="I17" i="2"/>
  <c r="H17" i="2"/>
  <c r="K17" i="2" s="1"/>
  <c r="I16" i="2"/>
  <c r="K15" i="2"/>
  <c r="I14" i="2"/>
  <c r="H14" i="2"/>
  <c r="K14" i="2" s="1"/>
  <c r="I13" i="2"/>
  <c r="H13" i="2"/>
  <c r="K13" i="2" s="1"/>
  <c r="I12" i="2"/>
  <c r="H12" i="2"/>
  <c r="K12" i="2" s="1"/>
  <c r="I11" i="2"/>
  <c r="H11" i="2"/>
  <c r="K11" i="2" s="1"/>
  <c r="I10" i="2"/>
  <c r="H10" i="2"/>
  <c r="K10" i="2" s="1"/>
  <c r="I9" i="2"/>
  <c r="H9" i="2"/>
  <c r="K9" i="2" s="1"/>
  <c r="I8" i="2"/>
  <c r="H8" i="2"/>
  <c r="K8" i="2" s="1"/>
  <c r="I7" i="2"/>
  <c r="H7" i="2"/>
  <c r="K7" i="2" s="1"/>
  <c r="I6" i="2"/>
  <c r="H6" i="2"/>
  <c r="K6" i="2" s="1"/>
  <c r="I5" i="2"/>
  <c r="H5" i="2"/>
  <c r="K5" i="2" s="1"/>
  <c r="B1" i="2"/>
  <c r="H131" i="2" s="1"/>
  <c r="B143" i="1" l="1"/>
  <c r="B135" i="2"/>
  <c r="B139" i="1" s="1"/>
  <c r="B149" i="1"/>
  <c r="B151" i="1" s="1"/>
  <c r="L37" i="1"/>
  <c r="B130" i="1"/>
  <c r="H38" i="2"/>
  <c r="K38" i="2" s="1"/>
  <c r="H40" i="2"/>
  <c r="K40" i="2" s="1"/>
  <c r="H42" i="2"/>
  <c r="K42" i="2" s="1"/>
  <c r="H44" i="2"/>
  <c r="K44" i="2" s="1"/>
  <c r="H46" i="2"/>
  <c r="K46" i="2" s="1"/>
  <c r="H48" i="2"/>
  <c r="K48" i="2" s="1"/>
  <c r="H50" i="2"/>
  <c r="K50" i="2" s="1"/>
  <c r="H79" i="2"/>
  <c r="K80" i="2" s="1"/>
  <c r="H81" i="2"/>
  <c r="K82" i="2" s="1"/>
  <c r="H83" i="2"/>
  <c r="K84" i="2" s="1"/>
  <c r="H85" i="2"/>
  <c r="K86" i="2" s="1"/>
  <c r="H87" i="2"/>
  <c r="K88" i="2" s="1"/>
  <c r="H111" i="2"/>
  <c r="K112" i="2" s="1"/>
  <c r="H113" i="2"/>
  <c r="K114" i="2" s="1"/>
  <c r="H115" i="2"/>
  <c r="K116" i="2" s="1"/>
  <c r="H117" i="2"/>
  <c r="K118" i="2" s="1"/>
  <c r="H119" i="2"/>
  <c r="K120" i="2" s="1"/>
  <c r="H26" i="2"/>
  <c r="K26" i="2" s="1"/>
  <c r="H28" i="2"/>
  <c r="K28" i="2" s="1"/>
  <c r="H30" i="2"/>
  <c r="K30" i="2" s="1"/>
  <c r="H32" i="2"/>
  <c r="K32" i="2" s="1"/>
  <c r="H34" i="2"/>
  <c r="K34" i="2" s="1"/>
  <c r="H67" i="2"/>
  <c r="K68" i="2" s="1"/>
  <c r="H69" i="2"/>
  <c r="K70" i="2" s="1"/>
  <c r="H71" i="2"/>
  <c r="K72" i="2" s="1"/>
  <c r="H73" i="2"/>
  <c r="K74" i="2" s="1"/>
  <c r="H75" i="2"/>
  <c r="K76" i="2" s="1"/>
  <c r="H101" i="2"/>
  <c r="K102" i="2" s="1"/>
  <c r="H103" i="2"/>
  <c r="K104" i="2" s="1"/>
  <c r="H105" i="2"/>
  <c r="K106" i="2" s="1"/>
  <c r="H107" i="2"/>
  <c r="K108" i="2" s="1"/>
  <c r="H109" i="2"/>
  <c r="K110" i="2" s="1"/>
  <c r="H16" i="2"/>
  <c r="H18" i="2"/>
  <c r="K18" i="2" s="1"/>
  <c r="H20" i="2"/>
  <c r="K20" i="2" s="1"/>
  <c r="H22" i="2"/>
  <c r="K22" i="2" s="1"/>
  <c r="H24" i="2"/>
  <c r="K24" i="2" s="1"/>
  <c r="H53" i="2"/>
  <c r="K54" i="2" s="1"/>
  <c r="H55" i="2"/>
  <c r="K56" i="2" s="1"/>
  <c r="H57" i="2"/>
  <c r="K58" i="2" s="1"/>
  <c r="H59" i="2"/>
  <c r="K60" i="2" s="1"/>
  <c r="H61" i="2"/>
  <c r="K62" i="2" s="1"/>
  <c r="H63" i="2"/>
  <c r="K64" i="2" s="1"/>
  <c r="H65" i="2"/>
  <c r="K66" i="2" s="1"/>
  <c r="H89" i="2"/>
  <c r="K90" i="2" s="1"/>
  <c r="H91" i="2"/>
  <c r="K92" i="2" s="1"/>
  <c r="H93" i="2"/>
  <c r="K94" i="2" s="1"/>
  <c r="H95" i="2"/>
  <c r="K96" i="2" s="1"/>
  <c r="H97" i="2"/>
  <c r="K98" i="2" s="1"/>
  <c r="H123" i="2"/>
  <c r="K124" i="2" s="1"/>
  <c r="H125" i="2"/>
  <c r="K126" i="2" s="1"/>
  <c r="H127" i="2"/>
  <c r="K128" i="2" s="1"/>
  <c r="H129" i="2"/>
  <c r="K130" i="2" s="1"/>
  <c r="K16" i="2" l="1"/>
  <c r="B134" i="2"/>
  <c r="B131" i="1"/>
  <c r="B132" i="1" s="1"/>
  <c r="B136" i="2" l="1"/>
  <c r="B140" i="1" s="1"/>
  <c r="B148" i="1" s="1"/>
  <c r="B138" i="1"/>
  <c r="B145" i="1" s="1"/>
  <c r="B146" i="1" s="1"/>
  <c r="B147" i="1" s="1"/>
</calcChain>
</file>

<file path=xl/sharedStrings.xml><?xml version="1.0" encoding="utf-8"?>
<sst xmlns="http://schemas.openxmlformats.org/spreadsheetml/2006/main" count="3668" uniqueCount="1661">
  <si>
    <t>INPUT</t>
  </si>
  <si>
    <t xml:space="preserve">Value </t>
  </si>
  <si>
    <t>ProductType(s) (use ; to separate)</t>
  </si>
  <si>
    <t>Productnaam</t>
  </si>
  <si>
    <t>Merk</t>
  </si>
  <si>
    <t>Batch/Lot</t>
  </si>
  <si>
    <t>THT/Productiedatum</t>
  </si>
  <si>
    <t>Review_datum</t>
  </si>
  <si>
    <t>Handmatig: vul de datum van de review in (YYYY-MM-DD). Backend: automatisch timestamp.</t>
  </si>
  <si>
    <t>Review_valid_until</t>
  </si>
  <si>
    <t>AUTO — berekend als Review_datum + Review_validity_months (MODEL SETTINGS B33). Backend: timestamp_review + validity_months.</t>
  </si>
  <si>
    <t>Review_trigger</t>
  </si>
  <si>
    <t>Handmatig: kies één trigger. Backend: automatisch bepaald door monitoring-service.</t>
  </si>
  <si>
    <t>Product_complexity_tier</t>
  </si>
  <si>
    <t>AUTO — berekend op basis van Ingredient_count (B26). Backend: count(product_ingredients WHERE product_id=current).</t>
  </si>
  <si>
    <t>Context_flags</t>
  </si>
  <si>
    <t>AUTO — doorverwijzing naar Context_flags_computed (B27), samengesteld op basis van Context_Flag_Rules. Backend: JOIN(matched_flags, " | ").</t>
  </si>
  <si>
    <t>Reviewer</t>
  </si>
  <si>
    <t>Handmatig: naam of ID van de reviewer. Backend: user_id van ingelogde reviewer.</t>
  </si>
  <si>
    <t>HELPERS</t>
  </si>
  <si>
    <t>Value</t>
  </si>
  <si>
    <t>Has_Omega3</t>
  </si>
  <si>
    <t>Has_Probiotic</t>
  </si>
  <si>
    <t>Has_Botanical</t>
  </si>
  <si>
    <t>Has_Vitamin</t>
  </si>
  <si>
    <t>Has_Mineral</t>
  </si>
  <si>
    <t>Has_Amino</t>
  </si>
  <si>
    <t>Has_Protein</t>
  </si>
  <si>
    <t>Has_Polyphenol</t>
  </si>
  <si>
    <t>Has_Enzyme</t>
  </si>
  <si>
    <t>Has_Lipid</t>
  </si>
  <si>
    <t>Has_Sport</t>
  </si>
  <si>
    <t>Ingredient_count</t>
  </si>
  <si>
    <t>AUTO — backend: COUNT(product_ingredients WHERE product_id = this product)</t>
  </si>
  <si>
    <t>Context_flags_computed</t>
  </si>
  <si>
    <t>AUTO — samengesteld uit Context_Flag_Rules sheet (zie aparte tabel)</t>
  </si>
  <si>
    <t>MODEL SETTINGS</t>
  </si>
  <si>
    <t>CriticalFailCapPct</t>
  </si>
  <si>
    <t>CriteriaRowStart</t>
  </si>
  <si>
    <t>CriteriaRowEnd</t>
  </si>
  <si>
    <t>Review_validity_months</t>
  </si>
  <si>
    <t>Instelling — pas aan indien gewenst</t>
  </si>
  <si>
    <t>Strong/Moderate/Weak</t>
  </si>
  <si>
    <t>b6_risk | pregnancy | sport_doping | ...</t>
  </si>
  <si>
    <t>Single | Multi | Complex</t>
  </si>
  <si>
    <t>YYYY-MM-DD</t>
  </si>
  <si>
    <t>annual | formula_change | new_safety_data | batch_change | recall_alert</t>
  </si>
  <si>
    <t>Auto (formula)</t>
  </si>
  <si>
    <t>Confidence_threshold_publish</t>
  </si>
  <si>
    <t>Category</t>
  </si>
  <si>
    <t>Criterion</t>
  </si>
  <si>
    <t>Weight</t>
  </si>
  <si>
    <t>Critical? (Y/N)</t>
  </si>
  <si>
    <t>AppliesTo</t>
  </si>
  <si>
    <t>Evidence to collect 1</t>
  </si>
  <si>
    <t>Evidence to collect 2</t>
  </si>
  <si>
    <t>Pass (1/0/-1)</t>
  </si>
  <si>
    <t>Applies (0/1)</t>
  </si>
  <si>
    <t>Score</t>
  </si>
  <si>
    <t>Notes</t>
  </si>
  <si>
    <t>QA_flag</t>
  </si>
  <si>
    <t>Severity</t>
  </si>
  <si>
    <t>Evidence_status</t>
  </si>
  <si>
    <t>Failure_type</t>
  </si>
  <si>
    <t>Consumer_impact</t>
  </si>
  <si>
    <t>Evidence_quality</t>
  </si>
  <si>
    <t>Confidence_score</t>
  </si>
  <si>
    <t>Identity &amp; Labeling</t>
  </si>
  <si>
    <t>Alle actieve ingrediënten + exacte doseringen volledig gedeclareerd (geen proprietary blend).</t>
  </si>
  <si>
    <t>Y</t>
  </si>
  <si>
    <t>ALL</t>
  </si>
  <si>
    <t>LABEL</t>
  </si>
  <si>
    <t>Critical Integrity</t>
  </si>
  <si>
    <t>Verified/Failed</t>
  </si>
  <si>
    <t>Compliance fail</t>
  </si>
  <si>
    <t>Consument kan dosering niet beoordelen of vergelijken.</t>
  </si>
  <si>
    <t>Alle chemische vormen expliciet gedeclareerd (geen “magnesium” zonder vorm).</t>
  </si>
  <si>
    <t>v2: Weight 6→8: vorm bepaalt biobeschikbaarheid direct</t>
  </si>
  <si>
    <t>Major</t>
  </si>
  <si>
    <t>Biologische opname en effectiviteit onduidelijk.</t>
  </si>
  <si>
    <t>Alle hulpstoffen volledig gedeclareerd (capsulemateriaal, antiklontermiddelen, kleurstoffen, zoetstoffen).</t>
  </si>
  <si>
    <t>Mogelijke allergenen of ongewenste additieven niet zichtbaar.</t>
  </si>
  <si>
    <t>Serving size, aanbevolen dagdosering en aantal servings per verpakking eenduidig vermeld.</t>
  </si>
  <si>
    <t>Dagdosering en productduur niet betrouwbaar te bepalen.</t>
  </si>
  <si>
    <t>Batch/lot + THT/productiedatum duidelijk vermeld.</t>
  </si>
  <si>
    <t>Producttraceerbaarheid en recall onmogelijk.</t>
  </si>
  <si>
    <t>Contra-indicaties, allergenen en gebruiksaanwijzing helder gecommuniceerd.</t>
  </si>
  <si>
    <t>PACKAGING</t>
  </si>
  <si>
    <t>Critical Safety</t>
  </si>
  <si>
    <t>Safety fail</t>
  </si>
  <si>
    <t>Verhoogd gezondheidsrisico bij verkeerd gebruik.</t>
  </si>
  <si>
    <t>Opslag- en stabiliteitsinstructies passend bij ingrediënttype vermeld.</t>
  </si>
  <si>
    <t>N</t>
  </si>
  <si>
    <t>Minor</t>
  </si>
  <si>
    <t>Potentie kan sneller afnemen bij verkeerde opslag.</t>
  </si>
  <si>
    <t>Producent of EU-verantwoordelijke partij volledig traceerbaar (naam + adres).</t>
  </si>
  <si>
    <t>Etiket</t>
  </si>
  <si>
    <t>Geen verantwoordelijke partij bij klachten of recalls.</t>
  </si>
  <si>
    <t>COA per batch publiek en traceerbaar (batchnr matcht product).</t>
  </si>
  <si>
    <t>COA</t>
  </si>
  <si>
    <t>Verified/Missing</t>
  </si>
  <si>
    <t>Data gap</t>
  </si>
  <si>
    <t>Productkwaliteit en zuiverheid niet onafhankelijk verifieerbaar.</t>
  </si>
  <si>
    <t>COA extern geverifieerd (ISO 17025 of gelijkwaardig laboratorium).</t>
  </si>
  <si>
    <t>CERTIFICATION</t>
  </si>
  <si>
    <t>v2: Weight 5→7, Critical N→Y: niet-geaccrediteerd lab maakt COA waardeloos</t>
  </si>
  <si>
    <t>Labresultaten mogelijk minder betrouwbaar.</t>
  </si>
  <si>
    <t>Analysemethoden + LOQ/LOD passend bij risicoprofiel ingrediënt.</t>
  </si>
  <si>
    <t>Testresultaten mogelijk niet gevoelig genoeg om contaminatie te detecteren.</t>
  </si>
  <si>
    <t>Zware metalen, microbiologie of andere risico-analyses passend bij productcategorie uitgevoerd.</t>
  </si>
  <si>
    <t>Mogelijke blootstelling aan toxische contaminanten.</t>
  </si>
  <si>
    <t>Gezondheidsclaims conform EU-wetgeving (geen ziekteclaims/misleiding).</t>
  </si>
  <si>
    <t>Claim fail</t>
  </si>
  <si>
    <t>Misleiding over gezondheidsvoordelen.</t>
  </si>
  <si>
    <t>Batchtraceerbaarheid aanwezig (recall-geschikt systeem aantoonbaar).</t>
  </si>
  <si>
    <t>AUDIT</t>
  </si>
  <si>
    <t>Productveiligheidsincidenten moeilijk te beheren.</t>
  </si>
  <si>
    <t>Transparantie over land van productie of herkomst waar relevant.</t>
  </si>
  <si>
    <t>Beperkt inzicht in productherkomst.</t>
  </si>
  <si>
    <t>Ingrediëntnamen volgen internationale nomenclatuur (bijv. Latijnse plantnaam of gestandaardiseerde ingrediëntnaam waar relevant).</t>
  </si>
  <si>
    <t>Ingrediënten zijn moeilijk te identificeren of te vergelijken.</t>
  </si>
  <si>
    <t>Core Quality – Raw Materials</t>
  </si>
  <si>
    <t>Hoofdingrediënt(en) in klinisch inzetbare vorm (bioactief of hoogwaardig waar relevant).</t>
  </si>
  <si>
    <t>SPEC</t>
  </si>
  <si>
    <t>v2: Weight 6→8, Critical N→Y: bepaalt of product beoogd effect kan hebben</t>
  </si>
  <si>
    <t>Quality fail</t>
  </si>
  <si>
    <t>Lagere biobeschikbaarheid of effectiviteit.</t>
  </si>
  <si>
    <t>Vermijdt inferieure hoofdvormen (bijv. oxide/carbonate als hoofdvorm; foliumzuur/cyanocobalamine als primaire B-vorm).</t>
  </si>
  <si>
    <t>v2: Weight 6→8 bevestigd</t>
  </si>
  <si>
    <t>Productformulering ondermijnt werkzaamheid.</t>
  </si>
  <si>
    <t>Identiteit actieve grondstof analytisch geverifieerd (HPLC/FTIR/DNA waar relevant).</t>
  </si>
  <si>
    <t>Onzekerheid over identiteit van ingrediënt.</t>
  </si>
  <si>
    <t>Geen verboden of ongewenste excipients (bijv. titaniumdioxide, talk, kunstmatige kleurstoffen waar niet nodig).</t>
  </si>
  <si>
    <t>Potentieel gezondheidsrisico of verboden stof.</t>
  </si>
  <si>
    <t>Botanische extracten correct gestandaardiseerd met markercompound percentage.</t>
  </si>
  <si>
    <t>BOTANICAL</t>
  </si>
  <si>
    <t>Effectiviteit extract moeilijk te beoordelen.</t>
  </si>
  <si>
    <t>Actieve ingrediënten voldoen aan farmacopee- of gelijkwaardige kwaliteitsstandaarden waar relevant.</t>
  </si>
  <si>
    <t>LITERATURE</t>
  </si>
  <si>
    <t>Grondstofkwaliteit onzeker.</t>
  </si>
  <si>
    <t>Core Quality – Metabolic Burden</t>
  </si>
  <si>
    <t>Langdurige inname zonder cumulatie- of toxiciteitsrisico (B6, retinol, jodium, zink/ijzer context).</t>
  </si>
  <si>
    <t>Verhoogd toxiciteitsrisico bij langdurig gebruik.</t>
  </si>
  <si>
    <t>Vormkeuze vereist geen onnodige metabolische omzetting of detoxroutes.</t>
  </si>
  <si>
    <t>Lagere biologische efficiëntie.</t>
  </si>
  <si>
    <t>GI-belasting passend (geen onnodig laxerende hoofdvorm of extreme excipient-belasting).</t>
  </si>
  <si>
    <t>v2: Weight 3→5: GI-tolerantie bepaalt therapietrouw</t>
  </si>
  <si>
    <t>Gastro-intestinale bijwerkingen mogelijk.</t>
  </si>
  <si>
    <t>Relevante interacties of contra-indicaties benoemd bij risicostoffen.</t>
  </si>
  <si>
    <t>Gezondheidsrisico bij medicatie of aandoeningen.</t>
  </si>
  <si>
    <t>Core Quality – Dosage &amp; Evidence</t>
  </si>
  <si>
    <t>Doseringen binnen klinisch relevante range voor het beoogde doel.</t>
  </si>
  <si>
    <t>v2: Weight 6→8, Critical N→Y: label decoration is grootste fraude in industrie</t>
  </si>
  <si>
    <t>Product kan klinisch ineffectief zijn.</t>
  </si>
  <si>
    <t>Geen marketing-overdosering zonder klinische onderbouwing.</t>
  </si>
  <si>
    <t>Onnodig hoge doseringen zonder bewezen voordeel.</t>
  </si>
  <si>
    <t>Synergie en ratio’s logisch geformuleerd (bijv. D3+K2, zink+koper).</t>
  </si>
  <si>
    <t>FORMULATION</t>
  </si>
  <si>
    <t>v2: Weight 4→6: zink/koper depletie is reëel klinisch risico</t>
  </si>
  <si>
    <t>Formule minder effectief of uit balans.</t>
  </si>
  <si>
    <t>UL-veiligheidsgrenzen gerespecteerd of duidelijk gecontextualiseerd.</t>
  </si>
  <si>
    <t>Overschrijding veilige inname.</t>
  </si>
  <si>
    <t>Evidence-niveau passend bij claim (A/B/C/D).</t>
  </si>
  <si>
    <t>Claim onvoldoende onderbouwd.</t>
  </si>
  <si>
    <t>Bioavailability claims alleen indien ondersteund door humane data.</t>
  </si>
  <si>
    <t>TESTDATA</t>
  </si>
  <si>
    <t>Misleidende opnameclaims.</t>
  </si>
  <si>
    <t>Core Quality – Contaminants</t>
  </si>
  <si>
    <t>Zware metalen (Pb, Cd, Hg, As) getest per batch met duidelijke units en LOQ.</t>
  </si>
  <si>
    <t>Toxische contaminatie mogelijk.</t>
  </si>
  <si>
    <t>Microbiologische veiligheid bevestigd (TPC, gisten, schimmels, pathogenen).</t>
  </si>
  <si>
    <t>Microbiologische besmetting mogelijk.</t>
  </si>
  <si>
    <t>Core Quality – Manufacturing</t>
  </si>
  <si>
    <t>Product geproduceerd in verifieerbare GMP-gecertificeerde faciliteit.</t>
  </si>
  <si>
    <t>Productiecontrole onzeker.</t>
  </si>
  <si>
    <t>Voedselveiligheidssysteem aanwezig (ISO22000/HACCP of equivalent).</t>
  </si>
  <si>
    <t>Productiecontrole mogelijk onvoldoende.</t>
  </si>
  <si>
    <t>Herkomst van actieve grondstoffen transparant waar relevant.</t>
  </si>
  <si>
    <t>Onvoldoende transparantie over supply chain.</t>
  </si>
  <si>
    <t>Core Quality – Stability/Packaging</t>
  </si>
  <si>
    <t>Verpakking beschermt tegen licht, zuurstof en vocht waar relevant.</t>
  </si>
  <si>
    <t>Potentie kan voortijdig afnemen.</t>
  </si>
  <si>
    <t>Stabiliteitsdata beschikbaar; potentie gegarandeerd tot einde THT.</t>
  </si>
  <si>
    <t>STABILITY</t>
  </si>
  <si>
    <t>Potentie mogelijk lager dan geclaimd.</t>
  </si>
  <si>
    <t>Core Quality – Delivery Claims</t>
  </si>
  <si>
    <t>Technologieclaims (liposomaal, delayed release, enterisch) aantoonbaar onderbouwd.</t>
  </si>
  <si>
    <t>v2: Weight 3→6, Critical N→Y: liposomaal meest misbruikte marketingterm</t>
  </si>
  <si>
    <t>Misleidende technologieclaims.</t>
  </si>
  <si>
    <t>Product Integrity – Verification</t>
  </si>
  <si>
    <t>Product batch onafhankelijk getest door derde partij laboratorium.</t>
  </si>
  <si>
    <t>Productkwaliteit niet onafhankelijk bevestigd.</t>
  </si>
  <si>
    <t>Laboratorium ISO 17025 geaccrediteerd of gelijkwaardig.</t>
  </si>
  <si>
    <t>Testresultaten mogelijk niet betrouwbaar.</t>
  </si>
  <si>
    <t>Testresultaten publiek of transparant beschikbaar (COA of rapport).</t>
  </si>
  <si>
    <t>Consument kan productkwaliteit niet verifiëren.</t>
  </si>
  <si>
    <t>Batchnummer op COA komt overeen met productbatch.</t>
  </si>
  <si>
    <t>COA mogelijk niet gekoppeld aan verkocht product.</t>
  </si>
  <si>
    <t>Analysepakket passend bij producttype (bijv. zware metalen, microbiologie, pesticiden, solventen).</t>
  </si>
  <si>
    <t>Onvoldoende controle op contaminanten.</t>
  </si>
  <si>
    <t>Testfrequentie passend bij productievolume (niet alleen eenmalige test).</t>
  </si>
  <si>
    <t>Kwaliteit mogelijk inconsistent tussen batches.</t>
  </si>
  <si>
    <t>Resultaten binnen veilige limieten volgens relevante normen (USP/EFSA/FDA waar relevant).</t>
  </si>
  <si>
    <t>Overschrijding contaminantlimieten.</t>
  </si>
  <si>
    <t>Product valt onder erkende kwaliteitscertificering waar relevant (bijv. IFOS, Creapure, NZVT, Informed Sport).</t>
  </si>
  <si>
    <t>SPECIFIC</t>
  </si>
  <si>
    <t>Kwaliteitsclaim moeilijk verifieerbaar.</t>
  </si>
  <si>
    <t>Productiepartij traceerbaar via intern kwaliteitsmanagementsysteem.</t>
  </si>
  <si>
    <t>Problemen bij recall of kwaliteitsincidenten.</t>
  </si>
  <si>
    <t>Product consistent tussen batches (geen grote variatie in actieve inhoud).</t>
  </si>
  <si>
    <t>Variabele dosering of werkzaamheid.</t>
  </si>
  <si>
    <t>Product niet opgenomen in waarschuwingen/recalls van toezichthouders (waar controleerbaar).</t>
  </si>
  <si>
    <t>v2: Weight 3→5: actieve recall is fundamentele veiligheidsmelding</t>
  </si>
  <si>
    <t>Product mogelijk onveilig of teruggeroepen.</t>
  </si>
  <si>
    <t>Product vrij van dopingrelevante contaminanten indien sportgebruik geclaimd.</t>
  </si>
  <si>
    <t>SPORT</t>
  </si>
  <si>
    <t>Risico op positieve dopingtest.</t>
  </si>
  <si>
    <t>Claim Fit / Purpose Fit</t>
  </si>
  <si>
    <t>Primair geclaimde werking duidelijk identificeerbaar (bijv. slaap, energie, immuun).</t>
  </si>
  <si>
    <t>Onduidelijk doel van product.</t>
  </si>
  <si>
    <t>Hoofdingrediënten sluiten logisch aan bij de primaire claim.</t>
  </si>
  <si>
    <t>Product ondersteunt geclaimde werking niet.</t>
  </si>
  <si>
    <t>Doseringen van hoofdingrediënten passend bij het geclaimde doel.</t>
  </si>
  <si>
    <t>Dosering te laag om effect te hebben.</t>
  </si>
  <si>
    <t>Vormkeuze van ingrediënten passend bij het geclaimde doel (bijv. magnesiumglycinaat voor slaap).</t>
  </si>
  <si>
    <t>Vormkeuze vermindert effectiviteit.</t>
  </si>
  <si>
    <t>Geen tegenstrijdige ingrediënten die de primaire werking ondermijnen.</t>
  </si>
  <si>
    <t>Ingrediënten werken elkaar tegen.</t>
  </si>
  <si>
    <t>Product bevat geen overbodige ingrediënten zonder duidelijke functie (“fairy dust”).</t>
  </si>
  <si>
    <t>Formule onnodig complex of marketinggedreven.</t>
  </si>
  <si>
    <t>Aantal actieve ingrediënten passend bij doel (geen shotgun-formule zonder logica).</t>
  </si>
  <si>
    <t>Moeilijk te begrijpen of inconsistent product.</t>
  </si>
  <si>
    <t>Claims consistent tussen etiket, website en marketingmateriaal.</t>
  </si>
  <si>
    <t>Misleidende of inconsistente claims.</t>
  </si>
  <si>
    <t>Claimniveau past bij het beschikbare evidence-niveau (geen sterke claims bij zwak bewijs).</t>
  </si>
  <si>
    <t>Overdreven gezondheidsclaims.</t>
  </si>
  <si>
    <t>Geen impliciete ziekteclaims of therapeutische claims buiten regelgeving.</t>
  </si>
  <si>
    <t>Onwettige of misleidende gezondheidsclaims.</t>
  </si>
  <si>
    <t>Product positionering duidelijk (preventie, ondersteuning of therapeutisch gebruik).</t>
  </si>
  <si>
    <t>Info</t>
  </si>
  <si>
    <t>Consument begrijpt rol van product niet goed.</t>
  </si>
  <si>
    <t>Delivery &amp; Excipients</t>
  </si>
  <si>
    <t>Toedieningsvorm passend bij producttype en beoogd gebruik (capsule, softgel, poeder, gummy, vloeibaar).</t>
  </si>
  <si>
    <t>Minder praktisch of minder geschikt gebruik.</t>
  </si>
  <si>
    <t>Delivery matrix ondersteunt opname waar relevant (bijv. softgel bij vetoplosbare stoffen).</t>
  </si>
  <si>
    <t>Opname kan suboptimaal zijn.</t>
  </si>
  <si>
    <t>Geen overmatige excipient-belasting ten opzichte van actieve inhoud.</t>
  </si>
  <si>
    <t>Relatief veel vulstoffen, weinig werkzame inhoud.</t>
  </si>
  <si>
    <t>Geen onnodige zoetstoffen, kleurstoffen, aroma’s of coatings zonder functionele meerwaarde.</t>
  </si>
  <si>
    <t>Onnodige additieven zonder functioneel voordeel.</t>
  </si>
  <si>
    <t>Suiker- of polyolbelasting passend bij productvorm (met name gummies, sachets, drinks).</t>
  </si>
  <si>
    <t>v2: Critical N→Y: consistency fix — Severity was al Critical Integrity</t>
  </si>
  <si>
    <t>Product ondermijnt gezondheidsdoel of GI-tolerantie.</t>
  </si>
  <si>
    <t>Capsule- of softgelmateriaal volledig gedeclareerd en passend voor doelgroep.</t>
  </si>
  <si>
    <t>Onvoldoende duidelijkheid over capsulebron of geschiktheid.</t>
  </si>
  <si>
    <t>Maag-darmtolerantie van delivery systeem logisch (geen onnodige irritatie, osmolariteit of laxerende belasting).</t>
  </si>
  <si>
    <t>Meer kans op misselijkheid, opgeblazen gevoel of diarree.</t>
  </si>
  <si>
    <t>Portiegrootte en gebruiksgemak realistisch (geen onpraktisch hoge capsulelast of extreem volume).</t>
  </si>
  <si>
    <t>v2: Weight 3→5: portiegrootte bepaalt therapietrouw direct</t>
  </si>
  <si>
    <t>Lagere therapietrouw of onpraktisch dagelijks gebruik.</t>
  </si>
  <si>
    <t>Verpakking en doseersysteem ondersteunen nauwkeurige en consistente inname.</t>
  </si>
  <si>
    <t>Inname kan onnauwkeurig of inconsistent zijn.</t>
  </si>
  <si>
    <t>Enterische, delayed release of liposomale delivery claims functioneel relevant en technisch passend toegepast.</t>
  </si>
  <si>
    <t>Misleidende technologieclaim zonder echte meerwaarde.</t>
  </si>
  <si>
    <t>Productvorm beschermt gevoelige ingrediënten tijdens gebruiksfase (na openen/inname).</t>
  </si>
  <si>
    <t>Actieve stoffen kunnen sneller degraderen na openen.</t>
  </si>
  <si>
    <t>Smaak-, geur- en sensorische correcties maskeren geen kwaliteitsprobleem van grondstof.</t>
  </si>
  <si>
    <t>Sensorische trucs kunnen kwaliteitsissues verhullen.</t>
  </si>
  <si>
    <t>Eindgebruikersgroep expliciet vermeld indien relevant (zwangerschap, kinderen, sporters, senioren).</t>
  </si>
  <si>
    <t>v2: nieuw criterium</t>
  </si>
  <si>
    <t>Doelgroepspecifieke doseringen en waarschuwingen ontbreken — verhoogd risico bij kwetsbare groepen.</t>
  </si>
  <si>
    <t>Interactie-matrix geborgd: ingrediënten ondermijnen elkaars opname niet (bijv. Ca/Fe competitie, hoog zink zonder koper).</t>
  </si>
  <si>
    <t>v2: nieuw criterium — Critical=Y</t>
  </si>
  <si>
    <t>Antagonistische ingrediëntcombinaties kunnen opname van individuele stoffen blokkeren of depletie veroorzaken.</t>
  </si>
  <si>
    <t>Seizoensgebondenheid of populatiespecifieke relevantie gecontextualiseerd waar sterk relevant (bijv. vitamine D dosering winter vs zomer).</t>
  </si>
  <si>
    <t>SEASONAL</t>
  </si>
  <si>
    <t>v2: nieuw criterium — seasonal flag</t>
  </si>
  <si>
    <t>Vaste dosering zonder seizoenscontext kan leiden tot suboptimale suppletie voor de consument.</t>
  </si>
  <si>
    <t>Verpakkingsmateriaal geen bron van contaminatie (bijv. geen BPA-migratie bij vetoplosbare producten in plastic).</t>
  </si>
  <si>
    <t>Vetoplosbare supplementen kunnen plasticizers absorberen uit PVC-verpakking — reëel maar weinig gecontroleerd risico.</t>
  </si>
  <si>
    <t>Sustainability &amp; Supply Chain</t>
  </si>
  <si>
    <t>Duurzaamheidscertificering aanwezig waar relevant (MSC voor visolie, Rainforest Alliance voor botanicals, Fair Trade).</t>
  </si>
  <si>
    <t>OMEGA3, BOTANICAL, LIPID</t>
  </si>
  <si>
    <t>v2: nieuw criterium — sustainability</t>
  </si>
  <si>
    <t>Consument kan duurzaamheid van bron niet beoordelen zonder certificering.</t>
  </si>
  <si>
    <t>Vegan/vegetarisch geschiktheid correct en volledig gecommuniceerd (capsulemateriaal, dragers, hulpstoffen).</t>
  </si>
  <si>
    <t>Gelatine capsules of dierlijke hulpstoffen zonder vermelding misleiden vegan/vegetarische consumenten.</t>
  </si>
  <si>
    <t>Productie- en testlocatie vermeld (EU/non-EU) — relevant voor traceerbaarheid en regulatoir kader.</t>
  </si>
  <si>
    <t>Non-EU productie zonder EU GMP-erkenning heeft ander risiconiveau dan EU-geproduceerde supplementen.</t>
  </si>
  <si>
    <t>SUMMARY</t>
  </si>
  <si>
    <t>Core Critical Gate</t>
  </si>
  <si>
    <t>Core Max Applicable Weight</t>
  </si>
  <si>
    <t>Core Raw Score</t>
  </si>
  <si>
    <t>Core Score % (normalized)</t>
  </si>
  <si>
    <t>Core Final Score % (cap bij critical fail)</t>
  </si>
  <si>
    <t>Core Non-verifiable count (Pass=-1)</t>
  </si>
  <si>
    <t>Core Review Status</t>
  </si>
  <si>
    <t>Module Critical Gate</t>
  </si>
  <si>
    <t>Module Max Applicable Weight</t>
  </si>
  <si>
    <t>Module Raw Score</t>
  </si>
  <si>
    <t>Module Score %</t>
  </si>
  <si>
    <t>Module Non-verifiable count</t>
  </si>
  <si>
    <t>Module Review Status</t>
  </si>
  <si>
    <t>Overall Critical Gate</t>
  </si>
  <si>
    <t>Overall Max Applicable Weight</t>
  </si>
  <si>
    <t>Overall Raw Score</t>
  </si>
  <si>
    <t>Overall Score %</t>
  </si>
  <si>
    <t>Overall Final Score %</t>
  </si>
  <si>
    <t>Overall Non-verifiable count</t>
  </si>
  <si>
    <t>Overall Review Status</t>
  </si>
  <si>
    <t>Engine Review Score</t>
  </si>
  <si>
    <t>Evidence Confidence Score</t>
  </si>
  <si>
    <t>Review Valid Until</t>
  </si>
  <si>
    <t>Review Trigger</t>
  </si>
  <si>
    <t>Product Complexity Tier</t>
  </si>
  <si>
    <t>Totale systeem moet zijn:</t>
  </si>
  <si>
    <t>product_id</t>
  </si>
  <si>
    <t>ingredient_id</t>
  </si>
  <si>
    <t>form_match_score</t>
  </si>
  <si>
    <t>review_total_score</t>
  </si>
  <si>
    <t>review_confidence</t>
  </si>
  <si>
    <t>display_eligible_flag</t>
  </si>
  <si>
    <t>10/10 systeemlogica</t>
  </si>
  <si>
    <t>Zo moet je flow worden:</t>
  </si>
  <si>
    <t>Stap 1 — User input</t>
  </si>
  <si>
    <t>Gebruiker kiest:</t>
  </si>
  <si>
    <t>probleem</t>
  </si>
  <si>
    <t>doel</t>
  </si>
  <si>
    <t>context</t>
  </si>
  <si>
    <t>filters</t>
  </si>
  <si>
    <t>Stap 2 — UI probleemlaag</t>
  </si>
  <si>
    <t>ui_problems + ui_problem_biomarker_map + ui_problem_use_case_map</t>
  </si>
  <si>
    <t>Stap 3 — Kennislaag</t>
  </si>
  <si>
    <t>Master ingredient bepaalt:</t>
  </si>
  <si>
    <t>welke ingrediënten biologisch relevant zijn</t>
  </si>
  <si>
    <t>welke forms beter zijn</t>
  </si>
  <si>
    <t>welke biomarkers beïnvloed worden</t>
  </si>
  <si>
    <t>welke conflicts bestaan</t>
  </si>
  <si>
    <t>Stap 4 — Quality layer</t>
  </si>
  <si>
    <t>Review engine bepaalt:</t>
  </si>
  <si>
    <t>welk product/SKU kwalitatief het best is</t>
  </si>
  <si>
    <t>Stap 5 — UI output</t>
  </si>
  <si>
    <t>Toon:</t>
  </si>
  <si>
    <t>top 3 ingrediënten</t>
  </si>
  <si>
    <t>top 1–3 producten</t>
  </si>
  <si>
    <t>korte uitleg</t>
  </si>
  <si>
    <t>waarschuwingen</t>
  </si>
  <si>
    <t>waarom dit past</t>
  </si>
  <si>
    <t xml:space="preserve">link / call to action voor begeleiding </t>
  </si>
  <si>
    <t>Producttype</t>
  </si>
  <si>
    <t>ModuleType</t>
  </si>
  <si>
    <t>Critical</t>
  </si>
  <si>
    <t>Evidence</t>
  </si>
  <si>
    <t>Pass</t>
  </si>
  <si>
    <t>Applies</t>
  </si>
  <si>
    <t>Omega3</t>
  </si>
  <si>
    <t>OMEGA3</t>
  </si>
  <si>
    <t>EPA + DHA exact per dosering + totale omega-3 duidelijk vermeld (geen generieke “fish oil” without specification).</t>
  </si>
  <si>
    <t>label</t>
  </si>
  <si>
    <t>Consument kan werkelijke EPA/DHA-dosering niet beoordelen; effectiviteit en vergelijkbaarheid tussen producten onduidelijk.</t>
  </si>
  <si>
    <t>Vorm gespecificeerd (TG/rTG/PL/EE) en plausibel voor producttype.</t>
  </si>
  <si>
    <t>label/spec</t>
  </si>
  <si>
    <t>Onbekende vetzuurvorm kan lagere biologische beschikbaarheid of minder geschikte opname geven.</t>
  </si>
  <si>
    <t>Oxidatiecontrole volledig en batch-specifiek onder acceptabele limieten (PV ≤5, AV ≤20, TOTOX ≤26).</t>
  </si>
  <si>
    <t>Risico op geoxideerde olie; mogelijke blootstelling aan schadelijke oxidatieproducten.</t>
  </si>
  <si>
    <t>Dioxines en PCB’s batch-specifiek getest en binnen veilige limieten.</t>
  </si>
  <si>
    <t>Mogelijke blootstelling aan persistente toxische stoffen (dioxines/PCB’s) met lange-termijn gezondheidsrisico.</t>
  </si>
  <si>
    <t>Zware metalen aantoonbaar ruim onder EU-limieten voor mariene oliën.</t>
  </si>
  <si>
    <t>Mogelijke blootstelling aan zware metalen uit mariene bronnen.</t>
  </si>
  <si>
    <t>Antioxidantbescherming aanwezig (bijv. tocoferolen) en verpakking geschikt tegen oxidatie (donkere fles/softgelmatrix).</t>
  </si>
  <si>
    <t>Versnelde oxidatie kan productkwaliteit en werkzaamheid verminderen.</t>
  </si>
  <si>
    <t>Effectieve EPA+DHA hoeveelheid per dagdosering klinisch relevant (≥500–1000 mg afhankelijk van positionering).</t>
  </si>
  <si>
    <t>label/literature</t>
  </si>
  <si>
    <t>Dosering mogelijk te laag voor klinisch relevant effect; consument verwacht mogelijk werking die niet optreedt.</t>
  </si>
  <si>
    <t>Brontransparantie aanwezig (vissoort of algensoort vermeld).</t>
  </si>
  <si>
    <t>Onbekende bron belemmert beoordeling van duurzaamheid, allergenen of oxidatierisico.</t>
  </si>
  <si>
    <t>Onafhankelijke kwaliteitscertificering aanwezig indien geclaimd (bijv. IFOS of vergelijkbaar).</t>
  </si>
  <si>
    <t>certification</t>
  </si>
  <si>
    <t>Kwaliteitsclaim niet controleerbaar; consument kan betrouwbaarheid van product moeilijk beoordelen.</t>
  </si>
  <si>
    <t>Dopingcertificering aanwezig indien product sportgericht gepositioneerd wordt.</t>
  </si>
  <si>
    <t>Mogelijk risico voor sporters als product niet aantoonbaar vrij is van dopingrelevante contaminanten.</t>
  </si>
  <si>
    <t>Probiotic</t>
  </si>
  <si>
    <t>PROBIOTIC</t>
  </si>
  <si>
    <t>Genus + species + straincode volledig vermeld (bijv. ATCC/DSM/BB-12 etc.).</t>
  </si>
  <si>
    <t>Zonder volledige strain-identificatie is de werking niet herleidbaar naar klinisch onderzochte probiotische stammen.</t>
  </si>
  <si>
    <t>CFU per strain gespecificeerd (niet alleen totaal CFU in blend).</t>
  </si>
  <si>
    <t>Onbekend hoeveel CFU per stam aanwezig is; effectiviteit van de formule niet betrouwbaar te beoordelen.</t>
  </si>
  <si>
    <t>CFU gegarandeerd tot einde THT (niet alleen “at manufacture”).</t>
  </si>
  <si>
    <t>spec/stability</t>
  </si>
  <si>
    <t>CFU kan sterk dalen vóór einde THT; consument krijgt mogelijk minder levende bacteriën dan verwacht.</t>
  </si>
  <si>
    <t>Strain-identiteit analytisch bevestigd (bijv. whole genome sequencing of gevalideerde methode).</t>
  </si>
  <si>
    <t>spec/COA</t>
  </si>
  <si>
    <t>Onbekende strain-identiteit kan leiden tot onbetrouwbare werking of verkeerde bacteriestam.</t>
  </si>
  <si>
    <t>Afwezigheid overdraagbare antibiotic resistance genes aantoonbaar gecontroleerd.</t>
  </si>
  <si>
    <t>Mogelijk risico op overdraagbare antibiotic resistance genes in bacteriestammen.</t>
  </si>
  <si>
    <t>Opslag- en vochtbescherming passend voor levensvatbaarheid (blister/barrière verpakking/desiccant waar nodig).</t>
  </si>
  <si>
    <t>spec/packaging</t>
  </si>
  <si>
    <t>Onvoldoende bescherming tegen vocht of zuurstof kan snelle afname van levensvatbare bacteriën veroorzaken.</t>
  </si>
  <si>
    <t>Stabiliteit aangetoond onder realistische opslagcondities (niet alleen ideale labcondities).</t>
  </si>
  <si>
    <t>stability data</t>
  </si>
  <si>
    <t>Levensvatbaarheid van bacteriën mogelijk overschat wanneer stabiliteit alleen onder ideale omstandigheden getest is.</t>
  </si>
  <si>
    <t>Strain-specifieke klinische onderbouwing aanwezig voor geclaimde werking.</t>
  </si>
  <si>
    <t>literature</t>
  </si>
  <si>
    <t>Geclaimde gezondheidswerking mogelijk niet onderbouwd met klinisch bewijs voor de gebruikte stam.</t>
  </si>
  <si>
    <t>Formulering ondersteunt overleving door maagzuur waar relevant (matrix/enteric bescherming).</t>
  </si>
  <si>
    <t>spec/formulation</t>
  </si>
  <si>
    <t>Onvoldoende bescherming tegen maagzuur kan leiden tot lage overleving van bacteriën en verminderde effectiviteit.</t>
  </si>
  <si>
    <t>Botanical</t>
  </si>
  <si>
    <t>Latijnse plantnaam (genus + species), plantdeel en herkomst duidelijk gespecificeerd.</t>
  </si>
  <si>
    <t>Onvoldoende specificatie van plantsoort of plantdeel maakt identificatie en vergelijking van het ingrediënt onmogelijk.</t>
  </si>
  <si>
    <t>Extractratio en extracttype transparant en plausibel vermeld.</t>
  </si>
  <si>
    <t>Onbekende extractiemethode of ratio maakt potentie en concentratie van actieve stoffen onduidelijk.</t>
  </si>
  <si>
    <t>Standaardisatie op markercompound of actieve fractie (%) duidelijk vermeld.</t>
  </si>
  <si>
    <t>label/spec/COA</t>
  </si>
  <si>
    <t>Zonder duidelijke standaardisatie is de hoeveelheid actieve stoffen onvoorspelbaar.</t>
  </si>
  <si>
    <t>Markercompound klinisch relevant voor de geclaimde werking.</t>
  </si>
  <si>
    <t>literature/spec</t>
  </si>
  <si>
    <t>Geclaimde werking kan niet logisch worden gekoppeld aan een relevante actieve markerstof.</t>
  </si>
  <si>
    <t>Botanische identiteit analytisch bevestigd (bijv. HPLC/HPTLC fingerprint of DNA-analyse).</t>
  </si>
  <si>
    <t>Identiteit van de botanische grondstof niet analytisch bevestigd; risico op verkeerde plantsoort.</t>
  </si>
  <si>
    <t>Adulteratie of botanische substitutie aantoonbaar uitgesloten.</t>
  </si>
  <si>
    <t>Risico op vervalsing of substitutie met andere plantsoorten met mogelijk andere veiligheid of werking.</t>
  </si>
  <si>
    <t>Pesticiden en herbiciden getest en binnen veilige limieten.</t>
  </si>
  <si>
    <t>Mogelijke blootstelling aan pesticiden of herbiciden uit teelt van botanische grondstoffen.</t>
  </si>
  <si>
    <t>Mycotoxinen getest waar relevant voor botanische grondstoffen.</t>
  </si>
  <si>
    <t>Risico op blootstelling aan mycotoxinen uit schimmelgroei tijdens teelt of opslag.</t>
  </si>
  <si>
    <t>Oplosmiddelresiduen binnen ICH Q3C limieten.</t>
  </si>
  <si>
    <t>Mogelijke aanwezigheid van residuele oplosmiddelen uit extractieproces.</t>
  </si>
  <si>
    <t>Batch-to-batch consistentie van markercompound of actieve fractie aantoonbaar.</t>
  </si>
  <si>
    <t>Variatie tussen batches kan leiden tot onvoorspelbare werking of inconsistent producteffect.</t>
  </si>
  <si>
    <t>Vitamin</t>
  </si>
  <si>
    <t>VITAMIN</t>
  </si>
  <si>
    <t>Vitaminevorm expliciet gedeclareerd voor alle vitaminen (geen generieke “vitamin B complex” zonder vormen).</t>
  </si>
  <si>
    <t>Consument kan niet zien welke specifieke vitaminevormen aanwezig zijn; effectiviteit en vergelijkbaarheid met andere producten onduidelijk.</t>
  </si>
  <si>
    <t>Vitamine D vorm = cholecalciferol (D3) tenzij duidelijke rationale voor D2.</t>
  </si>
  <si>
    <t>Minder effectieve vitamine D-vorm kan worden gebruikt waardoor biologische beschikbaarheid lager is.</t>
  </si>
  <si>
    <t>Vitamine K2 vorm gespecificeerd (MK-7 all-trans of equivalent bewijs).</t>
  </si>
  <si>
    <t>Onbekende K2-vorm maakt effectiviteit en stabiliteit van het ingrediënt onzeker.</t>
  </si>
  <si>
    <t>Folaatvorm biologisch actief (5-MTHF) waar relevant i.p.v. uitsluitend foliumzuur.</t>
  </si>
  <si>
    <t>Foliumzuur kan minder efficiënt worden omgezet bij sommige gebruikers; biologische benutting kan beperkt zijn.</t>
  </si>
  <si>
    <t>Vitamine B12 vorm biologisch actief (methyl/hydroxy/adenosyl) i.p.v. cyanocobalamine als hoofdvorm.</t>
  </si>
  <si>
    <t>Minder biologisch actieve B12-vorm kan leiden tot lagere opname en effectiviteit.</t>
  </si>
  <si>
    <t>Vitamine B6 dosering veilig voor langdurig gebruik (geen structurele dosering &gt;25 mg zonder duidelijke context).</t>
  </si>
  <si>
    <t>Te hoge B6-dosering kan bij langdurig gebruik neurologische klachten veroorzaken.</t>
  </si>
  <si>
    <t>Vitamine A (retinol) alleen hoog gedoseerd met duidelijke waarschuwing/context.</t>
  </si>
  <si>
    <t>Hoge retinol-inname zonder waarschuwing kan gezondheidsrisico geven, met name bij langdurig gebruik of zwangerschap.</t>
  </si>
  <si>
    <t>Vitamine E natuurlijke vorm of gemengde tocoferolen gespecificeerd (geen ongespecificeerde synthetische mix).</t>
  </si>
  <si>
    <t>Onbekende of synthetische vitamine E-vorm kan lagere biologische activiteit hebben.</t>
  </si>
  <si>
    <t>Niacinevorm expliciet gedeclareerd (nicotinic acid / nicotinamide / andere vorm).</t>
  </si>
  <si>
    <t>Onbekende niacinevorm kan leiden tot onverwachte flush-effecten of verkeerde interpretatie van dosering.</t>
  </si>
  <si>
    <t>B-vitamine verhoudingen rationeel geformuleerd (geen extreme megadosering van individuele B-vitaminen).</t>
  </si>
  <si>
    <t>Onevenwichtige B-vitamineverhoudingen kunnen metabolische balans verstoren of onnodig hoge doseringen veroorzaken.</t>
  </si>
  <si>
    <t>Doseringen binnen veilige langdurige grenzen of duidelijke doelgroepcontext.</t>
  </si>
  <si>
    <t>Doseringen buiten veilige grenzen kunnen risico geven bij langdurige consumptie.</t>
  </si>
  <si>
    <t>Vetoplosbare vitaminen geformuleerd met geschikte carrier (olie/micro-encapsulatie) waar relevant.</t>
  </si>
  <si>
    <t>Zonder geschikte carrier kunnen vetoplosbare vitaminen minder efficiënt worden opgenomen.</t>
  </si>
  <si>
    <t>Stabiliteit van oxidatie- of lichtgevoelige vitaminen geborgd (verpakking, carrier of micro-encapsulatie waar relevant).</t>
  </si>
  <si>
    <t>Onvoldoende bescherming tegen oxidatie of licht kan leiden tot verlies van vitaminepotentie.</t>
  </si>
  <si>
    <t>Biobeschikbaarheidsclaims (bijv. liposomaal/sublinguaal) onderbouwd met relevante data indien geclaimd.</t>
  </si>
  <si>
    <t>testdata/literature</t>
  </si>
  <si>
    <t>Geclaimde verbeterde biobeschikbaarheid is mogelijk niet onderbouwd met menselijke data.</t>
  </si>
  <si>
    <t>Vitamine C vorm gespecificeerd en relevant voor beoogde toepassing (ascorbinezuur vs ascorbaat vs liposomaal).</t>
  </si>
  <si>
    <t>v2: nieuw criterium — vitamine C ontbrak in module</t>
  </si>
  <si>
    <t>Ascorbinezuur, natriumascorbaat en liposomale C hebben verschillende GI-tolerantie en biobeschikbaarheidsprofiel.</t>
  </si>
  <si>
    <t>Mineral</t>
  </si>
  <si>
    <t>MINERAL</t>
  </si>
  <si>
    <t>Elementair mineraalgehalte expliciet vermeld per dosering (niet alleen zoutvorm).</t>
  </si>
  <si>
    <t>Zonder elementair mineraalgehalte kan de consument de werkelijke dosering en effectiviteit niet beoordelen.</t>
  </si>
  <si>
    <t>Chemische vorm expliciet gedeclareerd voor elk mineraal (bijv. bisglycinaat, citraat, malaat).</t>
  </si>
  <si>
    <t>Onbekende mineraalvorm maakt biologische beschikbaarheid en opname onzeker.</t>
  </si>
  <si>
    <t>Magnesium niet primair geformuleerd als oxide tenzij duidelijke rationale (bijv. laxerende toepassing).</t>
  </si>
  <si>
    <t>Magnesiumoxide kan een lage biologische beschikbaarheid hebben waardoor het verwachte effect vermindert.</t>
  </si>
  <si>
    <t>Inferieure anorganische vormen vermeden als hoofdvorm (bijv. zinksulfaat, calciumcarbonaat zonder rationale).</t>
  </si>
  <si>
    <t>Inferieure anorganische mineraalvormen kunnen lagere opname of meer gastro-intestinale bijwerkingen geven.</t>
  </si>
  <si>
    <t>Chelaat-authenticiteit aantoonbaar indien geclaimd (bijv. TRAACS of equivalent bewijs).</t>
  </si>
  <si>
    <t>spec/certification</t>
  </si>
  <si>
    <t>Gedeclareerde chelaatvorm kan niet worden geverifieerd zonder bewijs van authenticiteit.</t>
  </si>
  <si>
    <t>Interactie-logica geborgd (bijv. zink/koper verhouding; geen hoog zink zonder koper).</t>
  </si>
  <si>
    <t>Onjuiste mineralenverhoudingen kunnen opname verstoren of tekorten van andere mineralen veroorzaken.</t>
  </si>
  <si>
    <t>Antagonistische mineralencombinaties rationeel geformuleerd (bijv. Ca/Fe/Zn interacties in multimineraal).</t>
  </si>
  <si>
    <t>Antagonistische mineralencombinaties kunnen opname en effectiviteit van individuele mineralen verminderen.</t>
  </si>
  <si>
    <t>IJzer alleen toegepast met duidelijke doelgroepcontext of indicatie.</t>
  </si>
  <si>
    <t>IJzer zonder duidelijke indicatie kan onnodige inname en mogelijke gezondheidsrisico’s veroorzaken.</t>
  </si>
  <si>
    <t>IJzervorm passend voor GI-tolerantie en biobeschikbaarheid (bijv. bisglycinaat i.p.v. sulfaat).</t>
  </si>
  <si>
    <t>Ongeschikte ijzervorm kan gastro-intestinale klachten veroorzaken en minder goed worden opgenomen.</t>
  </si>
  <si>
    <t>Jodiumdosering alleen hoog indien duidelijke schildkliercontext en waarschuwing aanwezig.</t>
  </si>
  <si>
    <t>Hoge jodiuminname zonder context kan risico geven op verstoring van de schildklierfunctie.</t>
  </si>
  <si>
    <t>Seleniumvorm expliciet gedeclareerd (bijv. selenomethionine vs natriumseleniet).</t>
  </si>
  <si>
    <t>Onbekende seleniumvorm maakt biologische beschikbaarheid en effectiviteit onzeker.</t>
  </si>
  <si>
    <t>Natriumbelasting transparant indien relevant (bijv. elektrolytformules).</t>
  </si>
  <si>
    <t>Niet-transparante natriumbelasting kan ongewenste inname van natrium veroorzaken.</t>
  </si>
  <si>
    <t>Doseringen buiten veilige langdurige grenzen kunnen gezondheidsrisico’s veroorzaken bij langdurig gebruik.</t>
  </si>
  <si>
    <t>AminoAcid</t>
  </si>
  <si>
    <t>AMINO</t>
  </si>
  <si>
    <t>Vrije aminozuurvorm of equivalente actieve vorm expliciet gedeclareerd (bijv. L-citrulline, citrulline malaat 2:1, L-carnitine tartraat).</t>
  </si>
  <si>
    <t>Consument kan niet zien welke exacte aminozuurvorm aanwezig is; effectiviteit en dosering zijn daardoor moeilijk te beoordelen.</t>
  </si>
  <si>
    <t>L-vorm gebruikt waar biologisch relevant; geen racemisch mengsel zonder duidelijke rationale.</t>
  </si>
  <si>
    <t>Racemische mengsels kunnen minder biologisch actief zijn en leiden tot lagere effectiviteit.</t>
  </si>
  <si>
    <t>Zout- of gebonden vorm transparant gespecificeerd, inclusief ratio of equivalent actieve fractie waar relevant.</t>
  </si>
  <si>
    <t>Onbekende zout- of gebonden vorm maakt de werkelijke hoeveelheid actieve aminozuur onduidelijk.</t>
  </si>
  <si>
    <t>Creatine is monohydraat als standaard, tenzij alternatieve vorm aantoonbaar beter onderbouwd is.</t>
  </si>
  <si>
    <t>Alternatieve creatinevorm kan minder goed onderzocht of minder effectief zijn dan creatine monohydraat.</t>
  </si>
  <si>
    <t>Creatinecontaminanten of relevante syntheseresten aantoonbaar gecontroleerd waar relevant.</t>
  </si>
  <si>
    <t>COA/spec</t>
  </si>
  <si>
    <t>Mogelijke aanwezigheid van contaminanten of syntheseresten uit productieproces.</t>
  </si>
  <si>
    <t>Dosering per dag is klinisch relevant voor de geclaimde werking.</t>
  </si>
  <si>
    <t>Onvoldoende dosering kan leiden tot afwezig of beperkt effect ondanks geclaimde werking.</t>
  </si>
  <si>
    <t>Ratio’s in aminozuurcombinaties rationeel en transparant geformuleerd (bijv. EAA/BCAA/citrulline blends).</t>
  </si>
  <si>
    <t>Onlogische aminozuurverhoudingen kunnen effectiviteit van de formule verminderen.</t>
  </si>
  <si>
    <t>Fermentatie- of productiebron transparant waar relevant (bijv. fermentatie, synthetisch, vegan oorsprong).</t>
  </si>
  <si>
    <t>spec</t>
  </si>
  <si>
    <t>Onbekende productiebron belemmert beoordeling van kwaliteit, duurzaamheid of allergenen.</t>
  </si>
  <si>
    <t>Oplosmiddelresiduen of relevante productieresten binnen veilige limieten waar van toepassing.</t>
  </si>
  <si>
    <t>Mogelijke aanwezigheid van oplosmiddelresiduen of productieresten.</t>
  </si>
  <si>
    <t>Dopinggevoelige of stimulant-achtige verontreiniging uitgesloten indien sportgericht gepositioneerd.</t>
  </si>
  <si>
    <t>COA/certification</t>
  </si>
  <si>
    <t>Mogelijk risico op dopingrelevante contaminanten bij sportgebruik.</t>
  </si>
  <si>
    <t>Protein</t>
  </si>
  <si>
    <t>PROTEIN</t>
  </si>
  <si>
    <t>Eiwitbron en type expliciet gedeclareerd (bijv. whey isolate, caseïne, ei-eiwit, collageen, erwt).</t>
  </si>
  <si>
    <t>Consument kan niet beoordelen welke eiwitbron of eiwittype wordt gebruikt en of dit past bij het beoogde gebruik.</t>
  </si>
  <si>
    <t>Volledig aminozuurprofiel analytisch bevestigd waar relevant.</t>
  </si>
  <si>
    <t>Zonder bevestigd aminozuurprofiel is de voedingswaarde en volledigheid van het eiwit onzeker.</t>
  </si>
  <si>
    <t>Geen amino spiking; eiwitgehalte bevestigd via aminozuuranalyse.</t>
  </si>
  <si>
    <t>Risico op amino spiking waardoor het werkelijke eiwitgehalte lager kan zijn dan geclaimd.</t>
  </si>
  <si>
    <t>Contaminanten (zware metalen en microbiologie) batch-specifiek getest.</t>
  </si>
  <si>
    <t>Mogelijke aanwezigheid van zware metalen of microbiologische contaminanten.</t>
  </si>
  <si>
    <t>Eiwitkwaliteit of verteerbaarheid onderbouwd waar relevant (bijv. DIAAS/PDCAAS of equivalent).</t>
  </si>
  <si>
    <t>Eiwitkwaliteit of verteerbaarheid mogelijk niet onderbouwd ondanks impliciete kwaliteitsclaim.</t>
  </si>
  <si>
    <t>Verwerkingsmethode transparant (bijv. microfiltratie, enzymatische hydrolyse).</t>
  </si>
  <si>
    <t>Onbekende verwerkingsmethode maakt beoordeling van eiwitkwaliteit en denaturatie moeilijk.</t>
  </si>
  <si>
    <t>Lactosegehalte gespecificeerd bij whey-producten waar relevant.</t>
  </si>
  <si>
    <t>Onbekend lactosegehalte kan problematisch zijn voor lactose-intolerante consumenten.</t>
  </si>
  <si>
    <t>Heavy metals extra gecontroleerd bij plantaardige eiwitbronnen (bijv. rijst/erwt).</t>
  </si>
  <si>
    <t>Plantaardige eiwitbronnen kunnen verhoogd risico op zware metalen hebben zonder extra controle.</t>
  </si>
  <si>
    <t>Bioactieve peptiden of actieve fractie aantoonbaar gestandaardiseerd indien geclaimd (bijv. IgG, lactoferrine).</t>
  </si>
  <si>
    <t>Geclaimde bioactieve fracties of peptiden mogelijk niet aantoonbaar gestandaardiseerd.</t>
  </si>
  <si>
    <t>Oorsprong van eiwitbron transparant waar relevant (bijv. grass-fed, plantaardige bron).</t>
  </si>
  <si>
    <t>Herkomst van eiwitbron niet transparant waardoor kwaliteit of productiemethode moeilijk te beoordelen is.</t>
  </si>
  <si>
    <t>Polyphenol</t>
  </si>
  <si>
    <t>POLYPHENOL</t>
  </si>
  <si>
    <t>Actieve polyfenol of fytonutriënt exact gespecificeerd (bijv. curcuminoïden, EGCG, resveratrol).</t>
  </si>
  <si>
    <t>Consument kan niet zien welke specifieke polyfenol of fytonutriënt aanwezig is en in welke vorm.</t>
  </si>
  <si>
    <t>Chemische vorm of relevante subfractie gespecificeerd waar relevant (bijv. trans-resveratrol, EGCG %).</t>
  </si>
  <si>
    <t>Onbekende chemische vorm kan leiden tot lagere biologische beschikbaarheid of andere werkzaamheid.</t>
  </si>
  <si>
    <t>Actieve fractie of standaardisatie (%) duidelijk vermeld voor extracten.</t>
  </si>
  <si>
    <t>Zonder standaardisatie is de hoeveelheid actieve stof niet betrouwbaar te beoordelen.</t>
  </si>
  <si>
    <t>Adulteratie of synthetische toevoeging van markerstoffen uitgesloten via analytische verificatie.</t>
  </si>
  <si>
    <t>Risico op vervalsing of synthetische toevoeging van markerstoffen om extractsterkte te manipuleren.</t>
  </si>
  <si>
    <t>Pesticiden/herbiciden getest waar plantaardige bron relevant is.</t>
  </si>
  <si>
    <t>Mogelijke blootstelling aan pesticiden of herbiciden uit plantaardige teelt.</t>
  </si>
  <si>
    <t>Zware metalen getest bij geconcentreerde extracten.</t>
  </si>
  <si>
    <t>Mogelijke aanwezigheid van zware metalen in geconcentreerde botanische extracten.</t>
  </si>
  <si>
    <t>Mogelijke aanwezigheid van oplosmiddelresiduen uit extractieproces.</t>
  </si>
  <si>
    <t>Potentie gegarandeerd tot einde THT (niet alleen “at manufacture”).</t>
  </si>
  <si>
    <t>stability/spec</t>
  </si>
  <si>
    <t>Actieve stoffen kunnen vóór einde THT degraderen waardoor effectiviteit vermindert.</t>
  </si>
  <si>
    <t>Biobeschikbaarheidsclaims onderbouwd met relevante data indien geclaimd.</t>
  </si>
  <si>
    <t>literature/testdata</t>
  </si>
  <si>
    <t>Geclaimde verbeterde biobeschikbaarheid mogelijk niet onderbouwd met relevante data.</t>
  </si>
  <si>
    <t>Absorptiecofactoren of synergiecomponenten rationeel toegepast indien aanwezig (bijv. piperine, fosfolipiden).</t>
  </si>
  <si>
    <t>Ontbreken van synergie- of absorptiecomponenten kan effectiviteit van polyfenolen beperken.</t>
  </si>
  <si>
    <t>Enzyme</t>
  </si>
  <si>
    <t>ENZYME</t>
  </si>
  <si>
    <t>Enzymactiviteit vermeld in erkende activiteitseenheden (bijv. FCC, FIP, GDU, HUT) per dosering.</t>
  </si>
  <si>
    <t>Consument kan niet beoordelen hoeveel enzymactiviteit werkelijk aanwezig is zonder gestandaardiseerde eenheden.</t>
  </si>
  <si>
    <t>Enzymtype en substraatspecificiteit transparant gedeclareerd (bijv. protease, amylase, lipase, lactase).</t>
  </si>
  <si>
    <t>Onbekend enzymtype of substraat maakt werking en doel van het enzymproduct onduidelijk.</t>
  </si>
  <si>
    <t>pH-optimum van enzym relevant voor beoogde werking (maag of darm).</t>
  </si>
  <si>
    <t>spec/literature</t>
  </si>
  <si>
    <t>Onbekend pH-optimum kan leiden tot lage effectiviteit als enzym niet actief is in maag of darmomgeving.</t>
  </si>
  <si>
    <t>Maagzuurstabiliteit of enterische bescherming aangetoond indien intestinale werking wordt geclaimd.</t>
  </si>
  <si>
    <t>spec/testdata</t>
  </si>
  <si>
    <t>Enzym kan inactief worden in de maag waardoor geclaimde intestinale werking niet optreedt.</t>
  </si>
  <si>
    <t>Enterische coating of delayed-release systeem functioneel onderbouwd indien gebruikt.</t>
  </si>
  <si>
    <t>testdata/spec</t>
  </si>
  <si>
    <t>Geclaimde delayed-release of enterische technologie mogelijk niet functioneel onderbouwd.</t>
  </si>
  <si>
    <t>Stabiliteit van enzymactiviteit gegarandeerd tot einde THT.</t>
  </si>
  <si>
    <t>Enzymactiviteit kan afnemen vóór einde THT waardoor werking lager is dan verwacht.</t>
  </si>
  <si>
    <t>Temperatuur- en vochtstabiliteit geborgd via passende formulering en verpakking.</t>
  </si>
  <si>
    <t>Onvoldoende bescherming tegen temperatuur of vocht kan enzymactiviteit snel verminderen.</t>
  </si>
  <si>
    <t>Fermentatiebron en productieorganisme transparant waar relevant.</t>
  </si>
  <si>
    <t>Onbekende fermentatiebron of productieorganisme maakt beoordeling van kwaliteit en allergenen moeilijk.</t>
  </si>
  <si>
    <t>Microbiologische zuiverheid passend getest bij fermentatieproducten.</t>
  </si>
  <si>
    <t>Onvoldoende microbiologische controle kan risico geven op contaminatie bij fermentatieproducten.</t>
  </si>
  <si>
    <t>Claims over systemische of niet-spijsverteringswerking onderbouwd met relevante data indien geclaimd.</t>
  </si>
  <si>
    <t>Geclaimde systemische of niet-spijsverteringswerking mogelijk niet onderbouwd met relevante data.</t>
  </si>
  <si>
    <t>Lipid</t>
  </si>
  <si>
    <t>LIPID</t>
  </si>
  <si>
    <t>Lipidtype en bron expliciet gedeclareerd (bijv. ubiquinol, CLA, MCT, astaxanthine, fosfolipiden).</t>
  </si>
  <si>
    <t>Consument kan niet beoordelen welk type lipid of bron gebruikt wordt en of dit past bij het beoogde gebruik.</t>
  </si>
  <si>
    <t>Chemische vorm of redoxvorm gespecificeerd waar relevant (bijv. ubiquinol vs ubiquinone).</t>
  </si>
  <si>
    <t>Onbekende chemische of redoxvorm kan leiden tot lagere biologische beschikbaarheid of effectiviteit.</t>
  </si>
  <si>
    <t>Isomeerzuiverheid gespecificeerd waar relevant (bijv. all-trans carotenoïden, CLA isomeren).</t>
  </si>
  <si>
    <t>Onbekende isomeersamenstelling kan leiden tot lagere biologische activiteit of inconsistent producteffect.</t>
  </si>
  <si>
    <t>Actieve fractie of vetzuursamenstelling (%) analytisch bevestigd waar relevant.</t>
  </si>
  <si>
    <t>Zonder analytische bevestiging van vetzuur- of actieve fractie is de werkelijke samenstelling onzeker.</t>
  </si>
  <si>
    <t>Oxidatiestabiliteit geborgd via antioxidantbescherming en passende verpakking.</t>
  </si>
  <si>
    <t>Onvoldoende bescherming tegen oxidatie kan leiden tot vorming van schadelijke oxidatieproducten.</t>
  </si>
  <si>
    <t>Potentie of actieve vorm gegarandeerd tot einde THT (niet alleen “at manufacture”).</t>
  </si>
  <si>
    <t>Actieve lipidvorm kan degraderen vóór einde THT waardoor effectiviteit afneemt.</t>
  </si>
  <si>
    <t>Biobeschikbaarheidsclaims onderbouwd indien geclaimd (bijv. ubiquinol, micellair, emulsie).</t>
  </si>
  <si>
    <t>Licht- en zuurstofgevoelige lipiden adequaat beschermd door verpakking of formulering.</t>
  </si>
  <si>
    <t>Onvoldoende bescherming tegen licht of zuurstof kan leiden tot verlies van potentie van gevoelige lipiden.</t>
  </si>
  <si>
    <t>Contaminanten passend getest bij lipidbronnen (bijv. oxidatieproducten of residuen).</t>
  </si>
  <si>
    <t>Mogelijke aanwezigheid van contaminanten of oxidatieproducten in lipidbronnen.</t>
  </si>
  <si>
    <t>Opslagadvies passend bij oxidatiegevoeligheid van het product duidelijk vermeld.</t>
  </si>
  <si>
    <t>Consument krijgt mogelijk onvoldoende opslaginformatie om oxidatie en kwaliteitsverlies te voorkomen.</t>
  </si>
  <si>
    <t>Sport</t>
  </si>
  <si>
    <t>Informed Sport / NSF Certified for Sport (of equivalent) certificering publiek verifieerbaar.</t>
  </si>
  <si>
    <t>Sporters kunnen niet verifiëren of het product daadwerkelijk onafhankelijk gecertificeerd is voor dopingvrij gebruik.</t>
  </si>
  <si>
    <t>WADA-prohibited substance screening bevestigd door onafhankelijke test.</t>
  </si>
  <si>
    <t>Risico op aanwezigheid van verboden stoffen die tot positieve dopingtests kunnen leiden.</t>
  </si>
  <si>
    <t>Batch-specifieke dopingtest beschikbaar voor het product.</t>
  </si>
  <si>
    <t>Zonder batch-specifieke test kan een specifieke productbatch alsnog dopingrelevante contaminanten bevatten.</t>
  </si>
  <si>
    <t>Productiefaciliteit voorkomt cross-contaminatie met verboden stoffen (GMP + segregatie).</t>
  </si>
  <si>
    <t>certification/spec</t>
  </si>
  <si>
    <t>Risico op kruiscontaminatie met verboden stoffen in productiefaciliteiten zonder adequate scheiding.</t>
  </si>
  <si>
    <t>Stimulant-achtige contaminanten (DMAA, DMHA, sibutramine, etc.) analytisch uitgesloten.</t>
  </si>
  <si>
    <t>Mogelijke aanwezigheid van stimulant-achtige contaminanten die dopingrisico of gezondheidsrisico geven.</t>
  </si>
  <si>
    <t>Labelclaims over “doping free” of “tested” onderbouwd met relevante certificering.</t>
  </si>
  <si>
    <t>label/certification</t>
  </si>
  <si>
    <t>Marketingclaims over “doping free” of “tested” kunnen misleidend zijn zonder verifieerbare certificering.</t>
  </si>
  <si>
    <t>Botanische extracten getest op verborgen stimulanten indien relevant.</t>
  </si>
  <si>
    <t>Bepaalde botanische extracten kunnen verborgen stimulant-achtige stoffen bevatten zonder gerichte testing.</t>
  </si>
  <si>
    <t>Productpositionering duidelijk: sportperformance, herstel of algemene gezondheid.</t>
  </si>
  <si>
    <t>Onduidelijke positionering maakt het voor sporters moeilijk te beoordelen of het product geschikt is voor hun doel.</t>
  </si>
  <si>
    <t>Transparantie over batchnummer en testreferentie voor dopingtests.</t>
  </si>
  <si>
    <t>Gebrek aan transparantie over batchreferentie maakt verificatie van dopingtests onmogelijk.</t>
  </si>
  <si>
    <t>Marketingclaims rond sportprestatie ondersteund door relevante humane data.</t>
  </si>
  <si>
    <t>Prestatieclaims mogelijk niet ondersteund door relevante humane studies.</t>
  </si>
  <si>
    <t>Module Max Applicable weight</t>
  </si>
  <si>
    <t>FUNCIFY — Context Flag Rules</t>
  </si>
  <si>
    <t>Elke regel definieert één logische conditie die automatisch een context_flag triggert op een product. De backend (Python/Node.js) loopt bij iedere product-review door deze tabel en evalueert alle actieve regels. Vlag wordt gezet wanneer aan de conditie voldaan is. Meerdere vlaggen worden samengevoegd als " | "-string.</t>
  </si>
  <si>
    <t>Developer note: deze tabel is de machine-readable mapping. In Airtable: tabel "CONTEXT_FLAG_RULES" met velden rule_id, ingredient_name, operator, threshold_value, threshold_unit, flag, flag_category, severity, intake_match_field, consumer_message_nl, applies_to_module, active. Backend evalueert: IF ingredient IN product AND dose operator threshold THEN set flag.</t>
  </si>
  <si>
    <t>rule_id</t>
  </si>
  <si>
    <t>ingredient_name</t>
  </si>
  <si>
    <t>operator</t>
  </si>
  <si>
    <t>threshold_value</t>
  </si>
  <si>
    <t>threshold_unit</t>
  </si>
  <si>
    <t>flag</t>
  </si>
  <si>
    <t>flag_category</t>
  </si>
  <si>
    <t>severity</t>
  </si>
  <si>
    <t>intake_match_field</t>
  </si>
  <si>
    <t>consumer_message_nl</t>
  </si>
  <si>
    <t>applies_to_module</t>
  </si>
  <si>
    <t>active</t>
  </si>
  <si>
    <t xml:space="preserve">  ▸  1 — NEUROTOXICITEIT</t>
  </si>
  <si>
    <t>CF001</t>
  </si>
  <si>
    <t>Pyridoxine HCl; P-5-P; Vitamine B6</t>
  </si>
  <si>
    <t>&gt;=</t>
  </si>
  <si>
    <t>mg/dag</t>
  </si>
  <si>
    <t>b6_risk</t>
  </si>
  <si>
    <t>Neurotoxiciteit</t>
  </si>
  <si>
    <t>intake_meds_neurological; intake_supplements_b6</t>
  </si>
  <si>
    <t>Dit product bevat een hoge B6-dosering. Langdurige inname boven 25 mg/dag kan bij sommige mensen perifere neuropathie veroorzaken. Gebruik niet structureel zonder begeleiding.</t>
  </si>
  <si>
    <t>VITAMIN; ALL</t>
  </si>
  <si>
    <t>CF002</t>
  </si>
  <si>
    <t>b6_high_dose</t>
  </si>
  <si>
    <t>Dit product bevat een zeer hoge B6-dosering (≥50 mg/dag). Klinisch geassocieerd met sensorische neuropathie. Alleen bij specifieke therapeutische indicatie onder begeleiding.</t>
  </si>
  <si>
    <t>CF003</t>
  </si>
  <si>
    <t>Retinol; Vitamine A (retinol); Retinoïden</t>
  </si>
  <si>
    <t>IU/dag</t>
  </si>
  <si>
    <t>high_dose_fat_soluble</t>
  </si>
  <si>
    <t>Neurotoxiciteit / Teratogeniciteit</t>
  </si>
  <si>
    <t>intake_pregnancy; intake_liver_function</t>
  </si>
  <si>
    <t>Dit product bevat een hoge dosis vetoplosbare vitamine A (retinol). Accumulatie is mogelijk bij dagelijks gebruik. Niet aanbevolen tijdens zwangerschap.</t>
  </si>
  <si>
    <t>CF004</t>
  </si>
  <si>
    <t>Retinol; Vitamine A (retinol)</t>
  </si>
  <si>
    <t>pregnancy</t>
  </si>
  <si>
    <t>Teratogeniciteit</t>
  </si>
  <si>
    <t>intake_pregnancy</t>
  </si>
  <si>
    <t>Hoge retinol-inname is geassocieerd met aangeboren afwijkingen. Dit product is niet geschikt tijdens zwangerschap.</t>
  </si>
  <si>
    <t xml:space="preserve">  ▸  2 — SCHILDKLIER</t>
  </si>
  <si>
    <t>CF005</t>
  </si>
  <si>
    <t>Jodium; Kaliumjodide; Natriumjodide; Zeewier</t>
  </si>
  <si>
    <t>mcg/dag</t>
  </si>
  <si>
    <t>thyroid_risk</t>
  </si>
  <si>
    <t>Schildklier</t>
  </si>
  <si>
    <t>intake_thyroid_condition; intake_meds_thyroid</t>
  </si>
  <si>
    <t>Dit product bevat jodium. Bij bestaande schildklierproblemen (Hashimoto, hyper- of hypothyreoïdie) kan extra jodium klachten verergeren.</t>
  </si>
  <si>
    <t>MINERAL; ALL</t>
  </si>
  <si>
    <t>CF006</t>
  </si>
  <si>
    <t>Jodium; Kelp; Blaaswier; Fucus vesiculosus</t>
  </si>
  <si>
    <t>iodine_risk</t>
  </si>
  <si>
    <t>Zeer hoge jodium-inname. Boven 500 mcg/dag bestaat risico op jodium-geïnduceerde schildklierproblematiek, ook bij personen zonder voorgeschiedenis.</t>
  </si>
  <si>
    <t>MINERAL; BOTANICAL; ALL</t>
  </si>
  <si>
    <t>CF007</t>
  </si>
  <si>
    <t>Ashwagandha; Withania somnifera</t>
  </si>
  <si>
    <t>any</t>
  </si>
  <si>
    <t>Ashwagandha kan de schildklierfunctie beïnvloeden. Bij bestaande schildklierproblematiek of medicatie: gebruik alleen onder begeleiding.</t>
  </si>
  <si>
    <t xml:space="preserve">  ▸  3 — IJZER &amp; MINERAALBALANS</t>
  </si>
  <si>
    <t>CF008</t>
  </si>
  <si>
    <t>IJzer; Ferrum; FeSO4; Ferrousfumaraat; IJzerbisglycinaat</t>
  </si>
  <si>
    <t>iron_risk</t>
  </si>
  <si>
    <t>Mineraalbalans</t>
  </si>
  <si>
    <t>intake_iron_status; intake_gender; intake_meds_anticoag</t>
  </si>
  <si>
    <t>IJzersuppletie is alleen zinvol bij aangetoond tekort (ferritine laag). Overmatige ijzerinname is geassocieerd met oxidatieve stress. Niet aanbevolen zonder indicatie.</t>
  </si>
  <si>
    <t>CF009</t>
  </si>
  <si>
    <t>IJzer; Ferrum</t>
  </si>
  <si>
    <t>iron_high_dose</t>
  </si>
  <si>
    <t>intake_iron_status; intake_pregnancy; intake_gender</t>
  </si>
  <si>
    <t>Hoge ijzerdosering. Boven 45 mg/dag (EFSA UL) verhoogd risico op gastro-intestinale bijwerkingen en ijzertoxiciteit. Alleen onder medische supervisie.</t>
  </si>
  <si>
    <t>CF010</t>
  </si>
  <si>
    <t>Zink; Zinkbisglycinaat; Zinkcitraat; Zinksulfaat</t>
  </si>
  <si>
    <t>zinc_copper_depletion</t>
  </si>
  <si>
    <t>intake_supplements_copper; intake_supplements_zinc</t>
  </si>
  <si>
    <t>Hoge zink-inname (≥25 mg/dag) kan koper verdringen. Langdurig gebruik zonder koper-suppletie kan leiden tot koperdepletie en bloedarmoede.</t>
  </si>
  <si>
    <t>CF011</t>
  </si>
  <si>
    <t>Zink; Zinkbisglycinaat</t>
  </si>
  <si>
    <t>ul_risk</t>
  </si>
  <si>
    <t>Mineraalbalans / UL</t>
  </si>
  <si>
    <t>intake_supplements_zinc</t>
  </si>
  <si>
    <t>Zinkdosering nadert de EFSA veiligheidsgrens (40 mg/dag). Niet combineren met andere zinkbevattende supplementen of zinkrijke voeding.</t>
  </si>
  <si>
    <t>CF012</t>
  </si>
  <si>
    <t>Calcium; Calciumcarbonaat; Calciumcitraat</t>
  </si>
  <si>
    <t>calcium_absorption_block</t>
  </si>
  <si>
    <t>intake_supplements_calcium; intake_supplements_iron; intake_supplements_zinc</t>
  </si>
  <si>
    <t>Hoge calcium-inname kan de opname van ijzer, zink en magnesium verminderen. Neem niet gelijktijdig in met andere mineralen.</t>
  </si>
  <si>
    <t>CF013</t>
  </si>
  <si>
    <t>Selenium; Natriumseleniet; Selenomethionine</t>
  </si>
  <si>
    <t>selenium_risk</t>
  </si>
  <si>
    <t>intake_supplements_selenium</t>
  </si>
  <si>
    <t>Selenium heeft een smal therapeutisch venster. Boven 200 mcg/dag nader aan de EFSA UL van 300 mcg. Chronische hoge inname geassocieerd met selenose.</t>
  </si>
  <si>
    <t xml:space="preserve">  ▸  4 — BLOEDSTOLLING &amp; MEDICATIE-INTERACTIES</t>
  </si>
  <si>
    <t>CF014</t>
  </si>
  <si>
    <t>Vitamine K2; MK-7; Menaquinon; Vitamine K1; Phylloquinon</t>
  </si>
  <si>
    <t>anticoagulant</t>
  </si>
  <si>
    <t>Medicatie-interactie</t>
  </si>
  <si>
    <t>intake_meds_anticoagulant; intake_meds_warfarin</t>
  </si>
  <si>
    <t>Vitamine K interfereert direct met Coumarines (Acenocoumarol, Warfarine). Bij gebruik van bloedverdunners: gebruik dit product NIET zonder overleg met arts.</t>
  </si>
  <si>
    <t>CF015</t>
  </si>
  <si>
    <t>Omega-3 vetzuren; EPA; DHA; Visolie; Levertraan</t>
  </si>
  <si>
    <t>Bloedstolling</t>
  </si>
  <si>
    <t>intake_meds_anticoagulant; intake_surgery_planned</t>
  </si>
  <si>
    <t>Hoge omega-3 dosering (≥3 g/dag) heeft mild bloedverdunnend effect. Bij gebruik van antistollingsmedicatie of geplande operatie: overleg met arts.</t>
  </si>
  <si>
    <t>OMEGA3; ALL</t>
  </si>
  <si>
    <t>CF016</t>
  </si>
  <si>
    <t>Knoflookextract; Allium sativum; Ginkgo biloba; Ginkgo</t>
  </si>
  <si>
    <t>intake_meds_anticoagulant</t>
  </si>
  <si>
    <t>Dit botanische ingrediënt heeft bloedverdunnende eigenschappen. Niet combineren met antistollingsmedicatie zonder medisch advies.</t>
  </si>
  <si>
    <t>BOTANICAL; ALL</t>
  </si>
  <si>
    <t>CF017</t>
  </si>
  <si>
    <t>Sint-Janskruid; Hypericum perforatum</t>
  </si>
  <si>
    <t>drug_interaction_cyp3a4</t>
  </si>
  <si>
    <t>intake_meds_any</t>
  </si>
  <si>
    <t>Sint-Janskruid is een sterke CYP3A4-inducer en verlaagt de werkzaamheid van veel medicijnen (anticonceptie, antidepressiva, bloedverdunners, HIV-medicatie). Niet combineren met medicijnen.</t>
  </si>
  <si>
    <t>CF018</t>
  </si>
  <si>
    <t>Curcumine; Curcuma longa; Kurkuma</t>
  </si>
  <si>
    <t>Bloedstolling / Medicatie</t>
  </si>
  <si>
    <t>intake_meds_anticoagulant; intake_gallbladder</t>
  </si>
  <si>
    <t>Hoge curcumine-dosering heeft anticoagulerend effect en kan de galblaasfunctie stimuleren. Bij galstenen of antistollingsmedicatie: gebruik voorzichtig.</t>
  </si>
  <si>
    <t>BOTANICAL; POLYPHENOL; ALL</t>
  </si>
  <si>
    <t xml:space="preserve">  ▸  5 — ZWANGERSCHAP &amp; LACTATIE</t>
  </si>
  <si>
    <t>CF019</t>
  </si>
  <si>
    <t>Retinol; Vitamine A</t>
  </si>
  <si>
    <t>intake_pregnancy; intake_lactation</t>
  </si>
  <si>
    <t>Vitamine A (retinol) boven aanbevolen zwangerschapsdosering. Hoog risico bij zwangerschap.</t>
  </si>
  <si>
    <t>CF020</t>
  </si>
  <si>
    <t>Ashwagandha; Withania somnifera; Rhodiola; Rhodiola rosea</t>
  </si>
  <si>
    <t>Zwangerschap / Adaptogenen</t>
  </si>
  <si>
    <t>Adaptogenen zijn onvoldoende onderzocht op veiligheid tijdens zwangerschap en borstvoeding. Gebruik wordt afgeraden.</t>
  </si>
  <si>
    <t>CF021</t>
  </si>
  <si>
    <t>Vitamine B6; Pyridoxine HCl</t>
  </si>
  <si>
    <t>Zwangerschap</t>
  </si>
  <si>
    <t>B6 boven 10 mg/dag tijdens zwangerschap: afstemmen met arts. B6 is bij misselijkheid wel therapeutisch ingezet maar de dosering dient begeleid te worden.</t>
  </si>
  <si>
    <t>CF022</t>
  </si>
  <si>
    <t>Foliumzuur; Folaat; 5-MTHF; Methylfolaat</t>
  </si>
  <si>
    <t>pregnancy_positive</t>
  </si>
  <si>
    <t>Zwangerschap / Positief</t>
  </si>
  <si>
    <t>intake_pregnancy; intake_pregnancy_planning</t>
  </si>
  <si>
    <t>Dit product bevat folaat — relevant bij zwangerschapswens en zwangerschap. Controleer of de dosering (minimaal 400 mcg/dag) voldoet aan de aanbevolen zwangerschapsdosering.</t>
  </si>
  <si>
    <t>CF023</t>
  </si>
  <si>
    <t>Vitamine D3; Cholecalciferol</t>
  </si>
  <si>
    <t>Vetoplosbare vitaminen</t>
  </si>
  <si>
    <t>intake_pregnancy; intake_kidney_function</t>
  </si>
  <si>
    <t>Hoge vitamine D3 dosering. Bij zwangerschap of nierfunctiestoornissen: gebruik niet zonder medisch advies. Boven 4000 IU/dag nadert de EFSA veiligheidsgrens.</t>
  </si>
  <si>
    <t xml:space="preserve">  ▸  6 — NIER &amp; LEVERFUNCTIE</t>
  </si>
  <si>
    <t>CF024</t>
  </si>
  <si>
    <t>Vitamine C; Ascorbinezuur; Natriumascorbaat</t>
  </si>
  <si>
    <t>kidney_risk</t>
  </si>
  <si>
    <t>Nierfunctie</t>
  </si>
  <si>
    <t>intake_kidney_function; intake_kidney_stones_history</t>
  </si>
  <si>
    <t>Hoge vitamine C dosering (≥1 g/dag) verhoogt de oxalaatexcretie via de nier. Bij nierstenen (calciumoxalaat) of verminderde nierfunctie: gebruik voorzichtig.</t>
  </si>
  <si>
    <t>CF025</t>
  </si>
  <si>
    <t>Magnesium; Magnesiumbisglycinaat; Magnesiumoxide</t>
  </si>
  <si>
    <t>intake_kidney_function</t>
  </si>
  <si>
    <t>Hoge magnesium-inname. Bij nierfunctiestoornissen kan magnesium niet adequaat uitgescheiden worden, wat leidt tot hypermagnesemie.</t>
  </si>
  <si>
    <t>CF026</t>
  </si>
  <si>
    <t>Creatine; Creatine monohydraat</t>
  </si>
  <si>
    <t>intake_kidney_function; intake_kidney_disease</t>
  </si>
  <si>
    <t>Creatinesuppletie verhoogt creatinine-waarden in het bloed, wat bloedtesten kan vertekenen. Bij verminderde nierfunctie: gebruik alleen na medisch overleg.</t>
  </si>
  <si>
    <t>AMINO; ALL</t>
  </si>
  <si>
    <t>CF027</t>
  </si>
  <si>
    <t>Groene thee-extract; EGCG; Camellia sinensis</t>
  </si>
  <si>
    <t>liver_risk</t>
  </si>
  <si>
    <t>Leverfunctie</t>
  </si>
  <si>
    <t>intake_liver_function; intake_meds_hepatotoxic</t>
  </si>
  <si>
    <t>Geconcentreerde groene thee-extracten (≥400 mg EGCG/dag) zijn in zeldzame gevallen geassocieerd met leverschade (hepatotoxiciteit) bij nuchter gebruik.</t>
  </si>
  <si>
    <t>POLYPHENOL; BOTANICAL; ALL</t>
  </si>
  <si>
    <t>CF028</t>
  </si>
  <si>
    <t>Niacine; Nicotinezuur; Vitamine B3</t>
  </si>
  <si>
    <t>intake_liver_function; intake_diabetes</t>
  </si>
  <si>
    <t>Hoge niacine-dosering (≥500 mg/dag nicotinezuur) kan flush veroorzaken en bij langdurig gebruik lever-enzymstoringen geven. Nicotinamide heeft dit risico niet.</t>
  </si>
  <si>
    <t xml:space="preserve">  ▸  7 — SPORT &amp; DOPING</t>
  </si>
  <si>
    <t>CF029</t>
  </si>
  <si>
    <t>ANY</t>
  </si>
  <si>
    <t>sport_certified=N</t>
  </si>
  <si>
    <t>sport_doping</t>
  </si>
  <si>
    <t>Sport / Doping</t>
  </si>
  <si>
    <t>intake_sport_competitive; intake_sport_type</t>
  </si>
  <si>
    <t>Dit product heeft geen aantoonbare doping-certificering (bijv. Informed Sport, NZVT). Voor competitieve sporters bestaat risico op onbedoelde positieve dopingtest.</t>
  </si>
  <si>
    <t>SPORT; ALL</t>
  </si>
  <si>
    <t>CF030</t>
  </si>
  <si>
    <t>sport_doping_check</t>
  </si>
  <si>
    <t>intake_sport_competitive</t>
  </si>
  <si>
    <t>Creatine is een toegestaan supplement voor sporters. Controleer altijd of het specifieke product een doping-keurmerk heeft (Creapure-kwaliteit aanbevolen).</t>
  </si>
  <si>
    <t>AMINO; SPORT; ALL</t>
  </si>
  <si>
    <t>CF031</t>
  </si>
  <si>
    <t>Cafeïne; Cafeïne-anhydraat</t>
  </si>
  <si>
    <t>stimulant_risk</t>
  </si>
  <si>
    <t>Stimulantia</t>
  </si>
  <si>
    <t>intake_cardiovascular; intake_sleep_issues; intake_anxiety</t>
  </si>
  <si>
    <t>Hoge cafeïne-dosering. Bij hart- en vaataandoeningen, slaapproblemen of angstklachten: gebruik voorzichtig. Cafeïne staat op de WADA-observatielijst.</t>
  </si>
  <si>
    <t>CF032</t>
  </si>
  <si>
    <t>Beta-alanine</t>
  </si>
  <si>
    <t>paresthesia_risk</t>
  </si>
  <si>
    <t>Bijwerking</t>
  </si>
  <si>
    <t>intake_sport_type</t>
  </si>
  <si>
    <t>Beta-alanine kan paresthesie (tintelend gevoel) veroorzaken, met name bij hogere doseringen. Niet gevaarlijk maar kan als oncomfortabel worden ervaren.</t>
  </si>
  <si>
    <t xml:space="preserve">  ▸  8 — DIABETES &amp; BLOEDSUIKERREGULATIE</t>
  </si>
  <si>
    <t>CF033</t>
  </si>
  <si>
    <t>Berberine; Berberis vulgaris</t>
  </si>
  <si>
    <t>diabetes_meds</t>
  </si>
  <si>
    <t>Bloedsuiker / Medicatie</t>
  </si>
  <si>
    <t>intake_meds_diabetes; intake_meds_metformin</t>
  </si>
  <si>
    <t>Berberine heeft een significant bloedsuikerverlagend effect vergelijkbaar met Metformine. Combinatie met diabetesmedicatie kan hypoglykemie veroorzaken.</t>
  </si>
  <si>
    <t>CF034</t>
  </si>
  <si>
    <t>Chroom; Chroompicolinaat</t>
  </si>
  <si>
    <t>intake_meds_diabetes; intake_meds_insulin</t>
  </si>
  <si>
    <t>Chroom kan insulinegevoeligheid verbeteren. Bij gelijktijdig gebruik van insuline of orale diabetesmedicatie: risico op hypoglykemie. Medisch advies vereist.</t>
  </si>
  <si>
    <t>CF035</t>
  </si>
  <si>
    <t>Alfa-liponzuur; ALA; R-liponzuur</t>
  </si>
  <si>
    <t>intake_meds_diabetes; intake_thyroid_condition</t>
  </si>
  <si>
    <t>Alfa-liponzuur verlaagt bloedsuiker en kan schildklierhormoon-metabolism beïnvloeden. Bij gebruik van diabetesmedicatie of schildkliermedicatie: controleer dosering.</t>
  </si>
  <si>
    <t>LIPID; ALL</t>
  </si>
  <si>
    <t xml:space="preserve">  ▸  9 — MTHFR &amp; METHYLERING</t>
  </si>
  <si>
    <t>CF036</t>
  </si>
  <si>
    <t>Foliumzuur; Pteroylglutaminezuur (synthetisch)</t>
  </si>
  <si>
    <t>mthfr</t>
  </si>
  <si>
    <t>Methylering</t>
  </si>
  <si>
    <t>intake_genetic_mthfr; intake_symptoms_homocysteine</t>
  </si>
  <si>
    <t>Synthetisch foliumzuur kan bij MTHFR-polymorfisme onvoldoende omgezet worden. Actief methylfolaat (5-MTHF) is de voorkeursvorm. Controleer uw MTHFR-status.</t>
  </si>
  <si>
    <t>CF037</t>
  </si>
  <si>
    <t>Cyanocobalamine; Vitamine B12 (cyano)</t>
  </si>
  <si>
    <t>intake_genetic_mthfr</t>
  </si>
  <si>
    <t>Cyanocobalamine vereist cyanide-detoxificatie voor omzetting naar actieve B12. Bij MTHFR-polymorfisme of verminderde methyleringskapaciteit: methylcobalamine aanbevolen.</t>
  </si>
  <si>
    <t>CF038</t>
  </si>
  <si>
    <t>SAMe; S-Adenosyl-L-Methionine</t>
  </si>
  <si>
    <t>Methylering / Psychiatrie</t>
  </si>
  <si>
    <t>intake_meds_antidepressant; intake_bipolar</t>
  </si>
  <si>
    <t>SAMe is een methyldonor en kan serotoninespiegel verhogen. Bij gebruik van antidepressiva (SSRI, MAO-remmers) of bipolaire stoornis: niet zonder begeleiding gebruiken.</t>
  </si>
  <si>
    <t xml:space="preserve">  ▸  10 — AUTO-IMMUUN &amp; IMMUUNMODULATIE</t>
  </si>
  <si>
    <t>CF039</t>
  </si>
  <si>
    <t>Echinacea; Echinacea purpurea; Echinacea angustifolia</t>
  </si>
  <si>
    <t>autoimmune_risk</t>
  </si>
  <si>
    <t>Auto-immuun / Immuunmodulatie</t>
  </si>
  <si>
    <t>intake_autoimmune_condition; intake_meds_immunosuppressant</t>
  </si>
  <si>
    <t>Echinacea stimuleert het immuunsysteem. Bij auto-immuunziekten (MS, lupus, reumatoïde artritis) of immunosuppressiva-gebruik: gebruik wordt afgeraden.</t>
  </si>
  <si>
    <t>CF040</t>
  </si>
  <si>
    <t>Astragalus; Astragalus membranaceus; Huang Qi</t>
  </si>
  <si>
    <t>Astragalus is een immuunstimulant. Bij auto-immuunziekten of immunosuppressiva-gebruik: vermijd dit supplement.</t>
  </si>
  <si>
    <t>CF041</t>
  </si>
  <si>
    <t>Auto-immuun</t>
  </si>
  <si>
    <t>intake_autoimmune_condition</t>
  </si>
  <si>
    <t>Vitamine D speelt een rol bij immuunregulatie. Bij auto-immuunziekten kan hogere vitamine D-suppletie therapeutisch relevant zijn — bespreek dit met uw arts.</t>
  </si>
  <si>
    <t xml:space="preserve">  ▸  11 — HART &amp; VATEN</t>
  </si>
  <si>
    <t>CF042</t>
  </si>
  <si>
    <t>CoEnzym Q10; CoQ10; Ubiquinol; Ubiquinone</t>
  </si>
  <si>
    <t>statin_interaction</t>
  </si>
  <si>
    <t>intake_meds_statins; intake_cardiovascular</t>
  </si>
  <si>
    <t>CoQ10-suppletie is relevant bij statinegebruik (statines verlagen endogene CoQ10-productie). Geen negatieve interactie — juist potentieel ondersteunend.</t>
  </si>
  <si>
    <t>CF043</t>
  </si>
  <si>
    <t>Rode gistrijst; Monascus purpureus; Monacoline K</t>
  </si>
  <si>
    <t>Medicatie-interactie / HMG-CoA</t>
  </si>
  <si>
    <t>intake_meds_statins; intake_liver_function</t>
  </si>
  <si>
    <t>Rode gistrijst bevat Monacoline K, een natuurlijk statine (identiek aan Lovastatine). Combinatie met statinetherapie geeft addief risico op myopathie en leverbelasting.</t>
  </si>
  <si>
    <t>CF044</t>
  </si>
  <si>
    <t>Magnesium; Magnesiumbisglycinaat</t>
  </si>
  <si>
    <t>cardiovascular_positive</t>
  </si>
  <si>
    <t>Hart &amp; Vaten / Positief</t>
  </si>
  <si>
    <t>intake_cardiovascular; intake_hypertension</t>
  </si>
  <si>
    <t>Magnesium heeft een gunstige rol bij bloeddrukregulatie en hartritme. Relevant bij hypertensie of hartritmeproblematiek.</t>
  </si>
  <si>
    <t xml:space="preserve">  ▸  12 — PSYCHE &amp; SLAAP</t>
  </si>
  <si>
    <t>CF045</t>
  </si>
  <si>
    <t>Melatonine</t>
  </si>
  <si>
    <t>melatonin_interaction</t>
  </si>
  <si>
    <t>Slaap / Medicatie</t>
  </si>
  <si>
    <t>intake_meds_antidepressant; intake_meds_benzodiazepine; intake_autoimmune_condition</t>
  </si>
  <si>
    <t>Melatonine kan interacteren met antidepressiva (fluoxetine, fluvoxamine verhogen melatoninespiegel) en benzodiazepinen. Bij auto-immuunziekten: gebruik voorzichtig.</t>
  </si>
  <si>
    <t>CF046</t>
  </si>
  <si>
    <t>5-HTP; 5-Hydroxytryptofaan</t>
  </si>
  <si>
    <t>drug_interaction_serotonin</t>
  </si>
  <si>
    <t>Serotonine / Medicatie</t>
  </si>
  <si>
    <t>intake_meds_antidepressant; intake_meds_mao</t>
  </si>
  <si>
    <t>5-HTP verhoogt de serotoninesynthese. Combinatie met SSRI's, MAO-remmers of triptanen kan serotoninesyndroom veroorzaken. Niet combineren met antidepressiva.</t>
  </si>
  <si>
    <t>CF047</t>
  </si>
  <si>
    <t>L-Tryptofaan</t>
  </si>
  <si>
    <t>Hoge tryptofaan-dosering verhoogt serotonineproductie. Bij gebruik van SSRI's of MAO-remmers: risico op serotoninesyndroom.</t>
  </si>
  <si>
    <t>CF048</t>
  </si>
  <si>
    <t>GABA; Gamma-aminoboterzuur</t>
  </si>
  <si>
    <t>cns_interaction</t>
  </si>
  <si>
    <t>Centraal zenuwstelsel</t>
  </si>
  <si>
    <t>intake_meds_benzodiazepine; intake_meds_gabapentin</t>
  </si>
  <si>
    <t>GABA-supplementen kunnen het centrale zenuwstelsel beïnvloeden. Bij gebruik van benzodiazepinen of gabapentinoïden: gebruik voorzichtig.</t>
  </si>
  <si>
    <t>CF049</t>
  </si>
  <si>
    <t>Valeriaan; Valeriana officinalis; Valerian</t>
  </si>
  <si>
    <t>intake_meds_benzodiazepine; intake_meds_sedatives</t>
  </si>
  <si>
    <t>Valeriaan heeft milde sedatieve eigenschappen. Bij gelijktijdig gebruik van slaap- of kalmeringsmiddelen: additief effect mogelijk.</t>
  </si>
  <si>
    <t xml:space="preserve">  ▸  13 — PROBIOTICA &amp; MICROBIOOM</t>
  </si>
  <si>
    <t>CF050</t>
  </si>
  <si>
    <t>Lactobacillus; Bifidobacterium; Saccharomyces</t>
  </si>
  <si>
    <t>immunocompromised_risk</t>
  </si>
  <si>
    <t>Immuun / Probiotica</t>
  </si>
  <si>
    <t>intake_immunocompromised; intake_meds_immunosuppressant</t>
  </si>
  <si>
    <t>Levende bacteriën en gisten in probiotica kunnen bij ernstig immuungecompromitteerde personen (chemotherapie, HIV, transplantatie) systemische infecties veroorzaken.</t>
  </si>
  <si>
    <t>PROBIOTIC; ALL</t>
  </si>
  <si>
    <t>CF051</t>
  </si>
  <si>
    <t>Saccharomyces cerevisiae; Saccharomyces boulardii</t>
  </si>
  <si>
    <t>antifungal_interaction</t>
  </si>
  <si>
    <t>Probiotica / Medicatie</t>
  </si>
  <si>
    <t>intake_meds_antifungal</t>
  </si>
  <si>
    <t>Saccharomyces is een gist. Bij gebruik van antifunginale middelen (fluconazol, itraconazol) worden gistprobiotica geïnactiveerd en is suppletie ineffectief.</t>
  </si>
  <si>
    <t xml:space="preserve">  ▸  14 — LEEFTIJDSPECIFIEKE CONTEXT</t>
  </si>
  <si>
    <t>CF052</t>
  </si>
  <si>
    <t>target_group=children</t>
  </si>
  <si>
    <t>pediatric</t>
  </si>
  <si>
    <t>Leeftijd / Kinderen</t>
  </si>
  <si>
    <t>intake_age; intake_age_child</t>
  </si>
  <si>
    <t>Dit product is niet specifiek geformuleerd of gedoseerd voor kinderen. Doseringen voor volwassenen zijn niet direct toepasbaar voor kinderen.</t>
  </si>
  <si>
    <t>CF053</t>
  </si>
  <si>
    <t>intake_age_child</t>
  </si>
  <si>
    <t>Vitamine D dosering boven 1000 IU/dag voor kinderen: controleer of dit past bij de leeftijdsspecifieke behoefte. Aanbevolen dosering kinderen: 400-600 IU/dag.</t>
  </si>
  <si>
    <t>CF054</t>
  </si>
  <si>
    <t>Vitamine K2; MK-7</t>
  </si>
  <si>
    <t>elderly</t>
  </si>
  <si>
    <t>Senioren</t>
  </si>
  <si>
    <t>intake_age_senior; intake_cardiovascular</t>
  </si>
  <si>
    <t>Vitamine K2 is relevant voor botgezondheid en cardiovasculaire bescherming bij senioren. Controleer interactie met eventuele antistollingsmedicatie.</t>
  </si>
  <si>
    <t xml:space="preserve">  ▸  15 — VETOPLOSBARE VITAMINEN &amp; STAPELING</t>
  </si>
  <si>
    <t>CF055</t>
  </si>
  <si>
    <t>Vitamine E; d-alfa-tocoferol; dl-alfa-tocoferol</t>
  </si>
  <si>
    <t>Vetoplosbaar / Stapeling</t>
  </si>
  <si>
    <t>intake_meds_anticoagulant; intake_supplements_vitamin_e</t>
  </si>
  <si>
    <t>Hoge vitamine E (≥400 IU/dag) heeft antistollend effect en kan bij combinatie met bloedverdunners het risico op bloedingen verhogen.</t>
  </si>
  <si>
    <t>CF056</t>
  </si>
  <si>
    <t>Vitamine A; Retinol; Beta-caroteen (hoog)</t>
  </si>
  <si>
    <t>Vetoplosbaar / Stapeling / Roken</t>
  </si>
  <si>
    <t>intake_smoking; intake_pregnancy</t>
  </si>
  <si>
    <t>Hoge beta-caroteen dosering bij rokers: geassocieerd met verhoogd longkankerrisico (CARET-studie). Hoge retinol bij zwangerschap: teratogeen risico.</t>
  </si>
  <si>
    <t>CF057</t>
  </si>
  <si>
    <t>Vitamine D3 + Vitamine K2; Vitamine D3; Cholecalciferol</t>
  </si>
  <si>
    <t>intake_supplements_vitamin_d; intake_kidney_function</t>
  </si>
  <si>
    <t>Zeer hoge vitamine D3 dosering. Vetoplosbare vitaminen stapelen bij langdurig hoge inname. Controleer serumspiegels bij gebruik boven 4000 IU/dag.</t>
  </si>
  <si>
    <t xml:space="preserve">  ▸  16 — SEIZOENSGEBONDEN CONTEXT</t>
  </si>
  <si>
    <t>CF058</t>
  </si>
  <si>
    <t>&lt;</t>
  </si>
  <si>
    <t>seasonal_d3_underdose</t>
  </si>
  <si>
    <t>Seizoen / Vitamine D</t>
  </si>
  <si>
    <t>intake_season_winter; intake_location_nl; intake_skin_type_dark</t>
  </si>
  <si>
    <t>In de Nederlandse winter (oktober–april) is zonlicht onvoldoende voor endogene vitamine D-aanmaak. Dosering onder 1000 IU/dag is mogelijk onvoldoende voor mensen zonder zonblootstelling.</t>
  </si>
  <si>
    <t>CF059</t>
  </si>
  <si>
    <t>seasonal_d3_summer_check</t>
  </si>
  <si>
    <t>intake_season_summer; intake_outdoor_activity</t>
  </si>
  <si>
    <t>In de zomer met voldoende buitenactiviteit kan endogene vitamine D-aanmaak voldoende zijn. Hoge suppletie gecombineerd met zonblootstelling kan tot hypervitaminose D leiden bij gevoelige personen.</t>
  </si>
  <si>
    <t>LEGENDA &amp; DEVELOPER INSTRUCTIES</t>
  </si>
  <si>
    <t>"&gt;=", "&lt;=", "&gt;", "&lt;", "=", "any" (aanwezig ongeacht dosering), "sport_certified=N" (speciale conditie), "target_group=children" (doelgroep-conditie)</t>
  </si>
  <si>
    <t>Numerieke grenswaarde. Bij operator "any" of conditie-operators: 0 invullen.</t>
  </si>
  <si>
    <t>mg/dag | mcg/dag | IU/dag | g/dag | lege string bij "any"</t>
  </si>
  <si>
    <t>Neurotoxiciteit | Schildklier | Mineraalbalans | Medicatie-interactie | Bloedstolling | Teratogeniciteit | Vetoplosbaar/Stapeling | Immuun | Sport/Doping | Serotonine | Leeftijd | Seizoen | Auto-immuun | Bloedsuiker | Methylering | Bijwerking | Info</t>
  </si>
  <si>
    <t>Critical = altijd tonen, blokkeert aanbeveling | Major = prominent tonen | Minor = informatief tonen | Info = positieve context of neutrale informatie</t>
  </si>
  <si>
    <t>Komma-gescheiden lijst van intake-veldnamen die relevant zijn voor matching. Backend gebruikt dit voor conditionele filtering: flag alleen tonen als intake-veld actief is.</t>
  </si>
  <si>
    <t>Y = actief in productie | N = uitgeschakeld (testen of tijdelijk). Backend filtert altijd op active=Y.</t>
  </si>
  <si>
    <t>Backend logic</t>
  </si>
  <si>
    <t>For each product_ingredient: IF ingredient_name MATCHES rule.ingredient_name AND dose OPERATOR rule.threshold THEN add rule.flag to product.context_flags. Final: JOIN(unique_flags, " | ").</t>
  </si>
  <si>
    <t>EvidenceTypes</t>
  </si>
  <si>
    <t>SeverityTypes</t>
  </si>
  <si>
    <t>FailureTypes</t>
  </si>
  <si>
    <t>Context_flag_types</t>
  </si>
  <si>
    <t>Complexity_tier</t>
  </si>
  <si>
    <t>Review_trigger_types</t>
  </si>
  <si>
    <t>Strong</t>
  </si>
  <si>
    <t>Single</t>
  </si>
  <si>
    <t>annual</t>
  </si>
  <si>
    <t>Moderate</t>
  </si>
  <si>
    <t>Multi</t>
  </si>
  <si>
    <t>formula_change</t>
  </si>
  <si>
    <t>Verified/Present</t>
  </si>
  <si>
    <t>Weak</t>
  </si>
  <si>
    <t>Complex</t>
  </si>
  <si>
    <t>new_safety_data</t>
  </si>
  <si>
    <t>batch_change</t>
  </si>
  <si>
    <t>recall_alert</t>
  </si>
  <si>
    <t>blood_thinners</t>
  </si>
  <si>
    <t>seasonal_d3</t>
  </si>
  <si>
    <t>Criterium</t>
  </si>
  <si>
    <t>GI-belasting passend</t>
  </si>
  <si>
    <t>Synergie en ratio's logisch geformuleerd</t>
  </si>
  <si>
    <t>Portiegrootte en gebruiksgemak realistisch</t>
  </si>
  <si>
    <t>Interactie-matrix geborgd (antagonisme)</t>
  </si>
  <si>
    <t>Verpakkingsmateriaal geen contaminatiebron</t>
  </si>
  <si>
    <t>Funcify — Engine Weight Verantwoording</t>
  </si>
  <si>
    <t>Per criterium: waarom heeft het dit gewicht en niet één punt hoger of lager? Waarom is het wel of niet kritisch? Dit document is de definitieve referentie voor alle discussies over de engine-weging.</t>
  </si>
  <si>
    <t>Categorie</t>
  </si>
  <si>
    <t>W</t>
  </si>
  <si>
    <t>Krit.</t>
  </si>
  <si>
    <t>Waarom dit gewicht</t>
  </si>
  <si>
    <t>Waarom niet hoger</t>
  </si>
  <si>
    <t>Waarom niet lager</t>
  </si>
  <si>
    <t>Waarom wel/niet kritisch</t>
  </si>
  <si>
    <t xml:space="preserve">  Identity &amp; Labeling</t>
  </si>
  <si>
    <t>Alle actieve ingrediënten + doseringen gedeclareerd, geen proprietary blend</t>
  </si>
  <si>
    <t>Ja</t>
  </si>
  <si>
    <t>Zonder volledige declaratie is onafhankelijke beoordeling structureel onmogelijk. Proprietary blends zijn een bewuste keuze om transparantie te blokkeren en treffen de kernfunctie van de engine.</t>
  </si>
  <si>
    <t>Niet 10 omdat er nog geen bewijs van daadwerkelijke kwaliteitsproblemen is — het blokkeert beoordeling, maar bewijst geen slechte kwaliteit. Het COA-criterium (poort tot bewijs) staat hoger.</t>
  </si>
  <si>
    <t>Niet lager dan 8 omdat dit de absolutedrempel voor onafhankelijke analyse is. Elke beoordeling begint hier.</t>
  </si>
  <si>
    <t>Kritisch: zonder dit criterium is de engine niet bruikbaar. Een proprietary blend maakt alle kwaliteitsoordelen onmogelijk.</t>
  </si>
  <si>
    <t>Alle chemische vormen expliciet vermeld</t>
  </si>
  <si>
    <t>De moleculaire vorm bepaalt biobeschikbaarheid en effectiviteit direct. 'Magnesium' zonder vorm is functioneel geen informatie. Gelijke ernst als proprietary blend.</t>
  </si>
  <si>
    <t>Niet 10 omdat de beoordeling van de vorm zelf (inferieur of niet) in een apart criterium zit met ook weight 8. Dit criterium gaat over de aanwezigheid van de informatie, niet de kwaliteit.</t>
  </si>
  <si>
    <t>Niet lager omdat ontbrekende vorminformatie even schadelijk is als een proprietary blend: je weet niet wat je beoordeelt.</t>
  </si>
  <si>
    <t>Kritisch: zonder chemische vorminformatie kan moleculaire kwaliteit niet worden beoordeeld.</t>
  </si>
  <si>
    <t>Alle hulpstoffen volledig gedeclareerd</t>
  </si>
  <si>
    <t>Allergenen en ongewenste additieven (titaniumdioxide, talk, gelatine bij veganisten) zijn een reëel consumentrisico. Volledige declaratie is wettelijk verplicht en essentieel voor de excipient-beoordeling.</t>
  </si>
  <si>
    <t>Niet 8+ omdat hulpstoffen een aanvullende laag zijn bovenop de actieve ingrediënten. De consumentenimpact is reëel maar secundair aan de werkzame samenstelling.</t>
  </si>
  <si>
    <t>Niet lager dan 5 omdat een onjuiste of incomplete hulpstoffenlijst veiligheidsrisico's met zich meebrengt (allergenen).</t>
  </si>
  <si>
    <t>Kritisch: onvolledige hulpstoffdeclaratie kan actieve veiligheidsrisico's verbergen.</t>
  </si>
  <si>
    <t>Serving size, dagdosering en aantal servings eenduidig</t>
  </si>
  <si>
    <t>Zonder duidelijke serving-informatie is de dagelijkse inname niet te berekenen. Sommige fabrikanten vermelden doseringen per capsule maar niet het aantal capsules per dag om lage hoeveelheden te verhullen.</t>
  </si>
  <si>
    <t>Niet hoger dan 5 omdat dit een informatiecriterium is dat de gebruiker helpt maar geen directe kwaliteitsimplicatie heeft.</t>
  </si>
  <si>
    <t>Niet lager omdat onduidelijkheid hier leidt tot systematische onderbeoordeling of overbeoordeling van de dosering.</t>
  </si>
  <si>
    <t>Kritisch: zonder serving-informatie is dosering onbeoordeelbaar.</t>
  </si>
  <si>
    <t>Batch/lot en THT duidelijk vermeld</t>
  </si>
  <si>
    <t>Traceerbaarheid van batches is een basisvereiste voor productaansprakelijkheid en recall-geschiktheid. Essentieel voor de koppeling met COA.</t>
  </si>
  <si>
    <t>Niet hoger dan 3 omdat het ontbreken hiervan een administratieve tekortkoming is, niet per se een kwaliteitsprobleem van het product zelf.</t>
  </si>
  <si>
    <t>Niet lager dan 3 want zonder batch/lot is een COA niet batch-specifiek te verifiëren.</t>
  </si>
  <si>
    <t>Kritisch: zonder batch-informatie kan de COA niet worden gekoppeld aan het verkochte product.</t>
  </si>
  <si>
    <t>Contra-indicaties, allergenen en gebruiksaanwijzing helder</t>
  </si>
  <si>
    <t>Ontbrekende contra-indicaties en allergeneninformatie vormen een directe veiligheidsrisico, met name bij interacties met medicatie of voedselallergieën.</t>
  </si>
  <si>
    <t>Niet hoger dan 4 omdat dit informatieve veiligheidslaag is, niet de productformulering zelf.</t>
  </si>
  <si>
    <t>Niet lager want het betreft directe consumentveiligheid.</t>
  </si>
  <si>
    <t>Kritisch: ontbrekende veiligheidsinformatie kan direct letsel veroorzaken bij kwetsbare gebruikers.</t>
  </si>
  <si>
    <t>Opslag- en stabiliteitsinstructies passend</t>
  </si>
  <si>
    <t>Nee</t>
  </si>
  <si>
    <t>Relevante informatie voor behoud van potentie bij de gebruiker. Niet kritisch omdat de impact afhankelijk is van gebruikersgedrag, niet van de productformulering.</t>
  </si>
  <si>
    <t>Niet hoger want onjuiste opslaginstructies beïnvloeden potentie maar vormen geen veiligheidsrisico.</t>
  </si>
  <si>
    <t>Niet lager dan 3 want ze zijn relevant voor productwerkzaamheid in de praktijk.</t>
  </si>
  <si>
    <t>Niet kritisch: een product met ontbrekende opslaginstructies kan nog steeds kwalitatief goed zijn.</t>
  </si>
  <si>
    <t>Producent of EU-verantwoordelijke volledig traceerbaar</t>
  </si>
  <si>
    <t>Een traceerbare verantwoordelijke partij is wettelijk verplicht in de EU en maakt aansprakelijkheid mogelijk. Zonder dit is de consument rechteloos bij kwaliteitsproblemen.</t>
  </si>
  <si>
    <t>Niet 8+ want de traceerbaarheid is een juridisch criterium, geen directe indicatie van productkwaliteit.</t>
  </si>
  <si>
    <t>Niet lager dan 6 want ontbreken hiervan is een ernstige compliance-overtreding.</t>
  </si>
  <si>
    <t>Kritisch: zonder verantwoordelijke partij bestaat er geen aanspreekpunt bij veiligheidsincidenten.</t>
  </si>
  <si>
    <t>COA per batch publiek en traceerbaar</t>
  </si>
  <si>
    <t>Het maximale gewicht is gerechtvaardigd omdat dit de absolute poort is naar enig extern bewijs van productkwaliteit. Zonder batch-specifieke COA is geen enkele kwaliteitsclaim verifieerbaar. De COA is de basis van de gehele bewijsketen.</t>
  </si>
  <si>
    <t>Niet te verlagen: dit is het hoogste punt in de bewijshiërarchie. Alle andere verificatiecriteria bouwen hierop voort.</t>
  </si>
  <si>
    <t>Niet lager dan 10 want er is geen criterium dat fundamenteler is voor externe verifieerbaarheid.</t>
  </si>
  <si>
    <t>Kritisch: zonder COA kan geen enkel kwaliteitsoordeel worden onderbouwd.</t>
  </si>
  <si>
    <t>COA extern geverifieerd via ISO 17025</t>
  </si>
  <si>
    <t>Een rapport van een niet-geaccrediteerd lab heeft geen onafhankelijke bewijswaarde. Dit criterium beoordeelt de betrouwbaarheid van het bewijs dat via de COA (weight 10) is binnengekomen. De logische volgorde: eerst bewijs (10), dan kwaliteit van dat bewijs (7).</t>
  </si>
  <si>
    <t>Niet 10 want dit criterium staat hiërarchisch onder de aanwezigheid van de COA. Het is de kwaliteitslaag bovenop de poort, niet de poort zelf.</t>
  </si>
  <si>
    <t>Niet lager dan 7 want een COA van een niet-geaccrediteerd lab is gevaarlijker dan geen COA: het geeft een misleidende schijn van verificatie.</t>
  </si>
  <si>
    <t>Kritisch: een niet-geaccrediteerd lab maakt de gehele COA als bewijs onbruikbaar.</t>
  </si>
  <si>
    <t>Analysemethoden en LOQ/LOD passend</t>
  </si>
  <si>
    <t>De detectielimieten van de gebruikte analysemethode bepalen of verontreinigingen überhaupt gevonden kunnen worden. Een te hoge LOD mist relevante contaminatieniveaus.</t>
  </si>
  <si>
    <t>Niet hoger dan 5 want dit is een technische kwaliteitslaag van het testproces, niet direct een consumentenimpact.</t>
  </si>
  <si>
    <t>Niet lager dan 5 want inadequate methoden kunnen bewust of onbewust zorgen dat problemen onzichtbaar blijven.</t>
  </si>
  <si>
    <t>Niet kritisch: suboptimale methoden verminderen betrouwbaarheid maar zijn zelden een bewuste misleidingstactiek.</t>
  </si>
  <si>
    <t>Zware metalen en microbiologie getest</t>
  </si>
  <si>
    <t>Lood, cadmium, kwik en arseen zijn acuut en chronisch toxisch. Dit is een extern contaminatierisico afhankelijk van grondstoffen en productieomgeving. In de kernlaag weight 6 omdat het risico sterk producttype-afhankelijk is. In modules voor omega-3, botanicals en mineralen wordt dit verhoogd naar 8-10.</t>
  </si>
  <si>
    <t>Niet 8+ in de kernlaag omdat het risico bij sommige producttypes (bijv. vitamine D capsules) vrijwel nihil is. De modules compenseren dit voor risicocategorieën.</t>
  </si>
  <si>
    <t>Niet lager dan 6 want zware metalen zijn een absoluut veiligheidsprobleem wanneer ze boven de normen zitten.</t>
  </si>
  <si>
    <t>Kritisch: aantoonbare overschrijding van zware metalengrenzen is een directe gezondheidsbedreiging.</t>
  </si>
  <si>
    <t>Gezondheidsclaims conform EU-wetgeving</t>
  </si>
  <si>
    <t>Niet-toegestane gezondheidsclaims misleiden de consument over therapeutische waarde. De EFSA health claim-regulering is de wettelijke standaard. Weight 7 en niet hoger want claims beïnvloeden verwachtingen maar niet de intrinsieke kwaliteit van het product.</t>
  </si>
  <si>
    <t>Niet 8+ want een product met een illegale claim kan inhoudelijk goed zijn. De claim zegt iets over het merk, niet over de formule.</t>
  </si>
  <si>
    <t>Niet lager dan 7 want misleidende claims hebben een directe impact op koopbeslissingen en therapeutische verwachtingen.</t>
  </si>
  <si>
    <t>Kritisch: illegale ziekteclaims of therapeutische claims buiten de EU-wetgeving zijn een directe regelovertreding.</t>
  </si>
  <si>
    <t>Batchtraceerbaarheid aanwezig (recall-systeem)</t>
  </si>
  <si>
    <t>Interne traceerbaarheid maakt recall-acties mogelijk. Relevant voor veiligheidsmanagement maar niet direct beoordeelbaar door de consument.</t>
  </si>
  <si>
    <t>Niet hoger dan 4 want dit is een intern operationeel criterium. Het heeft geen directe consumentenimpact zolang het product niet wordt teruggeroepen.</t>
  </si>
  <si>
    <t>Niet lager dan 4 want zonder traceerbaarheid is een effectieve recall niet uitvoerbaar.</t>
  </si>
  <si>
    <t>Niet kritisch: ontbreken van intern systeem is een operationeel risico, niet een direct productkwaliteitsprobleem.</t>
  </si>
  <si>
    <t>Land van productie of herkomst vermeld</t>
  </si>
  <si>
    <t>Informatief voor de consument en relevant voor regulatoir kader (EU vs non-EU GMP). Lage weight omdat het informatief is, niet bepalend voor productkwaliteit.</t>
  </si>
  <si>
    <t>Niet hoger want herkomst is een contextuele factor, geen kwaliteitsbewijs.</t>
  </si>
  <si>
    <t>Niet lager dan 3 want non-EU productie zonder EU GMP-erkenning heeft een structureel ander risiconiveau.</t>
  </si>
  <si>
    <t>Niet kritisch: ontbrekende herkomstinformatie is een transparantiegebrek, geen directe kwaliteitsfout.</t>
  </si>
  <si>
    <t>Ingrediëntnamen volgen internationale nomenclatuur</t>
  </si>
  <si>
    <t>Internationale nomenclatuur (INCI, IUPAC) maakt vergelijking tussen producten mogelijk. Zonder standaard naamgeving is systematische beoordeling bemoeilijkt.</t>
  </si>
  <si>
    <t>Niet hoger want afwijkende naamgeving is verwarrend maar niet gevaarlijk.</t>
  </si>
  <si>
    <t>Niet lager dan 4 want inconsistente naamgeving bemoeilijkt de matching met de ingrediëntendatabase.</t>
  </si>
  <si>
    <t>Niet kritisch: afwijkende naamgeving is een kwaliteitsgebrek in de communicatie, niet in het product.</t>
  </si>
  <si>
    <t>Eindgebruikersgroep vermeld indien relevant</t>
  </si>
  <si>
    <t>Supplementen voor specifieke doelgroepen (zwangeren, kinderen, senioren) vereisen aangepaste doseringen en waarschuwingen. Ontbreken hiervan is een informatierisico voor kwetsbare groepen.</t>
  </si>
  <si>
    <t>Niet hoger want dit is een context-informatiecriterium. De formulering zelf is al beoordeeld op veiligheid voor specifieke doelgroepen.</t>
  </si>
  <si>
    <t>Niet lager dan 5 want kwetsbare groepen kunnen ernstige schade ondervinden van onderdosering of overdosering.</t>
  </si>
  <si>
    <t>Niet kritisch: het ontbreken van doelgroepvermelding is een informatiegebrek; de veiligheidsrisico's worden via andere criteria gevangen.</t>
  </si>
  <si>
    <t xml:space="preserve">  Core Quality – Raw Materials</t>
  </si>
  <si>
    <t>Hoofdingrediënt in klinisch inzetbare vorm</t>
  </si>
  <si>
    <t>De moleculaire vorm bepaalt of een ingrediënt het beoogde fysiologische effect kan bereiken. Een inferieure vorm maakt het product onwerkzaam ongeacht alle andere kwaliteitskenmerken. Dit raakt de kernbelofte van het supplement.</t>
  </si>
  <si>
    <t>Niet 10 want de COA (poort tot bewijs) staat hoger in de hiërarchie. Zonder COA is dit criterium niet te beoordelen.</t>
  </si>
  <si>
    <t>Niet lager dan 8 want een verkeerde moleculaire vorm is inhoudelijk gelijk aan een niet-werkend product.</t>
  </si>
  <si>
    <t>Kritisch: een inferieure hoofdvorm maakt de kernbelofte van het product onwaar.</t>
  </si>
  <si>
    <t>Vermijdt inferieure vormen (oxide, carbonate, foliumzuur, cyanocobalamine)</t>
  </si>
  <si>
    <t>MgO biobeschikbaarheid &lt;5% vs bisglycinaat ~40%. Synthetisch foliumzuur onconverteerbaar bij MTHFR. Cyanocobalamine vereist detoxificatiestap. Dit zijn aantoonbare kwaliteitsproblemen met directe klinische consequenties.</t>
  </si>
  <si>
    <t>Niet 10 want dit criterium valideert de keuze van de vormhiërarchie — het hoofdvorm-criterium (ook 8) beoordeelt de aanwezigheid van een klinisch inzetbare vorm, dit criterium beoordeelt het vermijden van de slechte keuze. Samen gewicht 8+8.</t>
  </si>
  <si>
    <t>Niet lager dan 8 want inferieure vormen zijn een structureel kwaliteitsprobleem dat de werkzaamheid ondermijnt.</t>
  </si>
  <si>
    <t>Kritisch: een product dat bewust inferieure vormen toepast ondermijnt zijn eigen werkzaamheid.</t>
  </si>
  <si>
    <t>Identiteit actieve grondstof analytisch geverifieerd</t>
  </si>
  <si>
    <t>HPLC/FTIR of equivalente analyses bevestigen dat het geclaimde ingrediënt ook daadwerkelijk aanwezig is. Relevant bij dure of zeldzame actieve stoffen (ashwagandha-extract, probiotica strains).</t>
  </si>
  <si>
    <t>Niet 8+ want bij eenvoudige ingrediënten is identiteitsverificatie vrijwel standaard en de fraudeprevalentie is lager dan bij botanicals.</t>
  </si>
  <si>
    <t>Niet lager dan 6 want onbevestigde identiteit maakt het product onbeoordeelbaar op werkzaamheid.</t>
  </si>
  <si>
    <t>Kritisch: een niet-geverifieerde identiteit maakt alle kwaliteitsaanspraken onverifieerbaar.</t>
  </si>
  <si>
    <t>Geen verboden excipients (titaniumdioxide, talk)</t>
  </si>
  <si>
    <t>Titaniumdioxide is als voedingsadditief verboden in de EU. Talk en vergelijkbare excipients zijn in hoge concentraties problematisch. Dit betreft verboden stoffen, niet slechte keuzes.</t>
  </si>
  <si>
    <t>Niet 8+ want de prevalentie van bewuste overtreding is laag en de directe gezondheidsimpact in gangbare doseringen is beperkt.</t>
  </si>
  <si>
    <t>Niet lager dan 4 want het betreft wettelijk verboden additieven.</t>
  </si>
  <si>
    <t>Kritisch: het gebruik van EU-verboden additieven is een absolute regelovertreding.</t>
  </si>
  <si>
    <t>Botanische extracten correct gestandaardiseerd</t>
  </si>
  <si>
    <t>Standaardisatie op een markercompound garandeert dat de actieve fractie consistent aanwezig is. Relevant uitsluitend voor botanische ingrediënten.</t>
  </si>
  <si>
    <t>Niet hoger want dit is een categorie-specifiek criterium met beperkte universele toepassing.</t>
  </si>
  <si>
    <t>Niet lager dan 4 want zonder standaardisatie is een botanisch extract niet doseerbaar op werkzaamheid.</t>
  </si>
  <si>
    <t>Niet kritisch: ontbrekende standaardisatie vermindert kwaliteitszekerheid maar is niet per definitie een veiligheidsprobleem.</t>
  </si>
  <si>
    <t>Ingrediënten voldoen aan farmacopee-kwaliteit</t>
  </si>
  <si>
    <t>Farmacopee-normen (Ph.Eur., USP) geven zekerheid over zuiverheid en kwaliteitsparameters. Niet altijd verifieerbaar maar relevant als standaardbenchmark.</t>
  </si>
  <si>
    <t>Niet hoger want farmacopee-compliance is moeilijk te verifiëren zonder directe toeleveranciersdocumentatie.</t>
  </si>
  <si>
    <t>Niet lager dan 4 want het is een erkende kwaliteitsstandaard.</t>
  </si>
  <si>
    <t>Niet kritisch: veel kwalitatieve producten voldoen aan farmacopee-normen zonder dit expliciet te claimen.</t>
  </si>
  <si>
    <t xml:space="preserve">  Core Quality – Metabolic Burden</t>
  </si>
  <si>
    <t>Langdurige inname zonder cumulatie- of toxiciteitsrisico</t>
  </si>
  <si>
    <t>Perifere neuropathie bij chronisch pyridoxine &gt;25 mg/dag is klinisch gedocumenteerd. Retinolaccumulatie bij vetoplosbare vitaminen. Jodium-geïnduceerde schildklierdisfunctie. Dit zijn reële risico's bij regulier gebruik van gangbare doseringen.</t>
  </si>
  <si>
    <t>Niet 10 want de directe gezondheidsimpact is dosisafhankelijk en treedt op bij langdurig gebruik, niet acuut. Weight 10 is gereserveerd voor acute verificatiedrempels.</t>
  </si>
  <si>
    <t>Niet lager dan 8 want chronische toxiciteitsrisico's bij normaal gebruik zijn een ernstige veiligheidskwestie.</t>
  </si>
  <si>
    <t>Kritisch: langdurige inname van toxische doseringen kan irreversibele schade veroorzaken.</t>
  </si>
  <si>
    <t>Vormkeuze vereist geen onnodige metabolische omzetting</t>
  </si>
  <si>
    <t>Foliumzuur naar 5-MTHF omzetting is bij MTHFR-polymorfisme verminderd. Cyanocobalamine vereist cyanide-detoxificatie. Relevant maar minder kritisch dan de aanwezigheid van inferieure vormen.</t>
  </si>
  <si>
    <t>Niet hoger want dit is een verfijningscriterium bovenop de vormkwaliteitsbeoordeling die al in Raw Materials zit.</t>
  </si>
  <si>
    <t>Niet lager dan 4 want metabolische omzettingsproblemen hebben reële klinische consequenties bij specifieke populaties.</t>
  </si>
  <si>
    <t>Niet kritisch: de impact is populatiespecifiek en niet universeel van toepassing.</t>
  </si>
  <si>
    <t>Magnesiumoxide veroorzaakt bij hoge doseringen laxerende werking wat therapietrouw ondermijnt. GI-intolerantie leidt direct tot non-compliance, wat het effect van het supplement nillificeert.</t>
  </si>
  <si>
    <t>Niet hoger dan 5 want GI-belasting is een praktisch comfortkritiek, geen directe veiligheidsoverweging.</t>
  </si>
  <si>
    <t>Niet lager dan 5 want non-compliance door GI-problemen maakt het supplement effectief nutteloos.</t>
  </si>
  <si>
    <t>Niet kritisch: GI-belasting is oncomfortabel maar niet gevaarlijk bij normale gebruik.</t>
  </si>
  <si>
    <t>Relevante interacties of contra-indicaties benoemd</t>
  </si>
  <si>
    <t>Interacties met medicatie (vitamine K met coumarines, sint-janskruid als CYP3A4-inducer) zijn een direct veiligheidsrisico. Het niet vermelden hiervan is een actieve informatieverzuiming.</t>
  </si>
  <si>
    <t>Niet hoger dan 5 want de interactievermelding is een informatieverplichting, niet een formuleringsbeslis. De context flag rules vangen de inhoudelijke interactiebeoordeling.</t>
  </si>
  <si>
    <t>Niet lager dan 5 want ontbrekende interactie-informatie kan directe medicatierisico's veroorzaken.</t>
  </si>
  <si>
    <t>Kritisch: een niet vermelde interactie met gangbare medicatie is een actieve misleiding met potentieel ernstige gevolgen.</t>
  </si>
  <si>
    <t xml:space="preserve">  Core Quality – Dosage &amp; Evidence</t>
  </si>
  <si>
    <t>Doseringen binnen klinisch relevante range</t>
  </si>
  <si>
    <t>Label decoration — sub-therapeutische doseringen uitsluitend voor de ingrediëntenlijst — is een van de meest prevalente misleidingspraktijken. Als de dosering niet klinisch relevant is, is de werkzaamheidsclaim misleidend. Gelijk gewicht aan vormen-criteria want de consequentie is identiek: het product werkt niet.</t>
  </si>
  <si>
    <t>Niet 10 want het doseercriterium staat in de bewijsketen onder de COA-poort. Bovendien is klinische relevantie soms contextafhankelijk (doel, gebruiker).</t>
  </si>
  <si>
    <t>Niet lager dan 8 want een sub-therapeutische dosering maakt de kernbelofte van het product onwaar.</t>
  </si>
  <si>
    <t>Kritisch: een product met een niet-relevante dosering van het hoofdingrediënt claimt effectiviteit die het structureel niet kan leveren.</t>
  </si>
  <si>
    <t>Geen marketing-overdosering zonder onderbouwing</t>
  </si>
  <si>
    <t>Overdosering van bepaalde vitaminen en mineralen zonder klinische onderbouwing suggereert dat meer beter is, wat niet altijd klopt en soms schadelijk is. Relevant maar minder ernstig dan underdosering.</t>
  </si>
  <si>
    <t>Niet hoger want overdosering in supplementen is zelden gevaarlijk bij water-oplosbare stoffen, en de impact is minder direct dan underdosering.</t>
  </si>
  <si>
    <t>Niet lager dan 5 want misleidende mega-doseringsmarketing beïnvloedt koopbeslissingen en consumentverwachtingen.</t>
  </si>
  <si>
    <t>Niet kritisch: overdosering is context-afhankelijk beoordelen; de UL-criteria vangen de absolute veiligheidsgrens.</t>
  </si>
  <si>
    <t>Zink &gt;25 mg/dag zonder koper veroorzaakt koperdepletie bij langdurig gebruik. D3 zonder K2 bij hoge doses kan calciummetabolisme beïnvloeden. Verhoogd van 4 naar 6 vanwege reële klinische consequenties. Niet kritisch omdat de impact afhankelijk is van de totale supplementenstack, niet uitsluitend van dit product.</t>
  </si>
  <si>
    <t>Niet 8 want het effect is stack-afhankelijk. Een hoog-zink product is problematisch als de gebruiker geen koper gebruikt, maar dat ligt niet uitsluitend bij dit product.</t>
  </si>
  <si>
    <t>Niet lager dan 6 want de klinische consequenties van mineral antagonisme zijn reëel en gedocumenteerd.</t>
  </si>
  <si>
    <t>Niet kritisch: het risico is stack-afhankelijk en niet inherent aan het product zelf.</t>
  </si>
  <si>
    <t>EFSA UL-veiligheidsgrenzen gerespecteerd</t>
  </si>
  <si>
    <t>De EFSA UL-waarden zijn de wetenschappelijke veiligheidsgrens. Overschrijding zonder klinische context is een veiligheidsfout. Weight 4 en niet hoger omdat UL-overschrijdingen in gangbare consumentensupplementen zeldzaam zijn.</t>
  </si>
  <si>
    <t>Niet 8+ want de marktprevalentie van bewuste UL-overschrijdingen is laag en de impact is dosisafhankelijk. De Metabolic Burden criteria vangen de specifieke toxiciteitsrisico's.</t>
  </si>
  <si>
    <t>Niet lager dan 4 want elke bewuste UL-overschrijding is per definitie een veiligheidsfout.</t>
  </si>
  <si>
    <t>Kritisch: een product dat de EFSA-veiligheidsgrens overschrijdt claimt veiligheid die het structureel niet heeft.</t>
  </si>
  <si>
    <t>Evidence-niveau passend bij claim</t>
  </si>
  <si>
    <t>Een claim ondersteund door enkel in-vitro studies is zwakker dan een claim gebaseerd op humane RCT's. Informatief voor professionals maar beperkte directe consumentenimpact.</t>
  </si>
  <si>
    <t>Niet hoger want evidence-niveau is contextafhankelijk en de regulering van gezondheidsclaims wordt al via het claims-criterium gevangen.</t>
  </si>
  <si>
    <t>Niet lager dan 3 want het is relevante contextuele informatie voor de consument.</t>
  </si>
  <si>
    <t>Niet kritisch: een lager evidence-niveau is een kwaliteitsbeperking, geen misleiding als de claim conform EU-wetgeving is.</t>
  </si>
  <si>
    <t>Bioavailability claims alleen bij humane data</t>
  </si>
  <si>
    <t>'Liposomaal' en vergelijkbare biobeschikbaarheidsclaims zijn momenteel de meest misbruikte marketingterm in de sector. Zonder humane data is de claim misleidend. Dit criterium overlapt bewust met het technologieclaims-criterium in Delivery.</t>
  </si>
  <si>
    <t>Niet 6+ want dit criterium focust op de onderbouwing van de claim, het Delivery-criterium (6) beoordeelt of de technologie functioneel is.</t>
  </si>
  <si>
    <t>Niet lager dan 4 want een ongefundeerde biobeschikbaarheidsclaim beïnvloedt direct de aankoopbeslissing.</t>
  </si>
  <si>
    <t>Kritisch: een misleidende biobeschikbaarheidsclaim is de kern van de productpositionering bij deze producten.</t>
  </si>
  <si>
    <t>Calcium en ijzer in hoge doseringen in één product verminderen elkaars opname significant. Zink en koper zijn elkaars antagonisten. Dit wordt niet gevangen door afzonderlijke doseringsbeoordelingen — het vereist een beoordeling van de totale formulering.</t>
  </si>
  <si>
    <t>Niet 8 want het effect is dosisafhankelijk en niet bij elk multi-ingrediënt product relevant.</t>
  </si>
  <si>
    <t>Niet lager dan 7 want een formulering die actief de opname van eigen ingrediënten vermindert is een fundamenteel kwaliteitsprobleem.</t>
  </si>
  <si>
    <t>Kritisch: antagonistische formuleringen verminderen de werkzaamheid van het product in zijn geheel.</t>
  </si>
  <si>
    <t>Seizoensgebondenheid gecontextualiseerd</t>
  </si>
  <si>
    <t>Vitamine D 1000 IU is in de Nederlandse winter ondergekwalificeerd; hetzelfde product is in de zomer met voldoende buitenactiviteit mogelijk overbodig. Relevant voor de personalisatie-engine maar beperkte directe productkwaliteitsimplicatie.</t>
  </si>
  <si>
    <t>Niet hoger want dit is een contextuele relevantie-factor, geen kwaliteitsgebrek van het product zelf.</t>
  </si>
  <si>
    <t>Niet lager dan 4 want seizoensgebonden onjuiste aanbevelingen kunnen leiden tot structurele tekorten of overinname.</t>
  </si>
  <si>
    <t>Niet kritisch: een product kan kwalitatief goed zijn maar seizoenscontextueel onoptimaal.</t>
  </si>
  <si>
    <t xml:space="preserve">  Core Quality – Contaminants</t>
  </si>
  <si>
    <t>Zware metalen per batch getest (Pb, Cd, Hg, As)</t>
  </si>
  <si>
    <t>Lood, cadmium, kwik en arseen zijn acuut en chronisch toxisch. Een product dat zijn zware metalen niet per batch test en binnen veilige limieten houdt, vormt een directe gezondheidsbedreiging. Dit is het tweede maximale gewicht naast de COA-poort.</t>
  </si>
  <si>
    <t>Dit gewicht is de maximale score voor een veiligheidscriterium met directe toxicologische impact. Het verschilt van het algemene zware metalen testcriterium in Identity (weight 6) doordat dit criterium de uitkomst beoordeelt, niet alleen de aanwezigheid van het test.</t>
  </si>
  <si>
    <t>Niet lager dan 10 want overschrijding van zware metalenlimieten is een absolute veiligheidsfout zonder nuance.</t>
  </si>
  <si>
    <t>Kritisch: zware metalen boven de EU/USP-limieten zijn een directe gezondheidsbedreiging.</t>
  </si>
  <si>
    <t>Microbiologische veiligheid bevestigd</t>
  </si>
  <si>
    <t>Pathogenen in supplementen (Salmonella, E.coli, Staphylococcus) zijn een reëel veiligheidsrisico, met name bij probiotica, botanicals en eiwitproducten. Weight 6 want het risico is sterk producttype-afhankelijk.</t>
  </si>
  <si>
    <t>Niet 10 want microbiologische contaminatie is bij de meeste supplementen (capsules, tabletten) een beheersbaar risico met lage prevalentie.</t>
  </si>
  <si>
    <t>Niet lager dan 6 want microbiologische verontreiniging kan ernstige infecties veroorzaken.</t>
  </si>
  <si>
    <t>Kritisch: aantoonbare microbiologische verontreiniging met pathogenen is een directe gezondheidsbedreiging.</t>
  </si>
  <si>
    <t xml:space="preserve">  Core Quality – Manufacturing</t>
  </si>
  <si>
    <t>GMP-gecertificeerde productiefaciliteit</t>
  </si>
  <si>
    <t>GMP is de minimumvereiste voor productieconsistentie, -traceerbaarheid en -controle. Zonder GMP heeft geen enkel kwaliteitsproces een gestandaardiseerde basis. Hoog gewicht omdat dit de productieomgeving beoordeelt, niet het product zelf.</t>
  </si>
  <si>
    <t>Niet 10 want GMP garandeert een productieproces, niet de specifieke kwaliteit van dit product. De COA (10) beoordeelt het product direct.</t>
  </si>
  <si>
    <t>Niet lager dan 8 want een niet-GMP-gecertificeerde faciliteit maakt batch-consistentie en kwaliteitscontrole onzeker.</t>
  </si>
  <si>
    <t>Kritisch: productie buiten GMP-kader maakt systematische kwaliteitsborging onmogelijk.</t>
  </si>
  <si>
    <t>ISO22000/HACCP of equivalent</t>
  </si>
  <si>
    <t>Aanvullend voedselveiligheidssysteem bovenop GMP. Relevant maar niet bepalend als GMP al aanwezig is.</t>
  </si>
  <si>
    <t>Niet hoger want het is aanvullend op GMP, niet vervangend.</t>
  </si>
  <si>
    <t>Niet lager dan 3 want het geeft aanvullende zekerheid over systematisch risicobeheer.</t>
  </si>
  <si>
    <t>Niet kritisch: GMP dekt de basisvereisten al. ISO22000 is een extra kwaliteitslaag.</t>
  </si>
  <si>
    <t>Herkomst actieve grondstoffen transparant</t>
  </si>
  <si>
    <t>Bronherkomst van actieve grondstoffen is relevant voor risicoprofilering (bijv. grondstoffen uit regio's met hoge pesticiden-belasting). Informatief en ondersteunend voor risicobeoordeling.</t>
  </si>
  <si>
    <t>Niet hoger want herkomst is contextueel, niet bepalend voor de kwaliteit van het eindproduct.</t>
  </si>
  <si>
    <t>Niet lager dan 4 want non-transparantie over grondstoffen bemoeilijkt onafhankelijke risicoanalyse.</t>
  </si>
  <si>
    <t xml:space="preserve">  Core Quality – Stability/Packaging</t>
  </si>
  <si>
    <t>Verpakking beschermt tegen licht/zuurstof/vocht</t>
  </si>
  <si>
    <t>Licht- en zuurstofgevoelige ingrediënten (omega-3, probiotica, CoQ10) degraderen snel bij inadequate bescherming. Relevant maar niet universeel van toepassing.</t>
  </si>
  <si>
    <t>Niet hoger want de impact hangt sterk af van het ingrediëntentype en de stabiliteit van het product.</t>
  </si>
  <si>
    <t>Niet lager dan 4 want inadequate verpakking leidt direct tot verlies van potentie.</t>
  </si>
  <si>
    <t>Niet kritisch: slechte verpakking vermindert werkzaamheid maar vormt doorgaans geen veiligheidsrisico.</t>
  </si>
  <si>
    <t>Stabiliteitsdata aanwezig en potentie gegarandeerd tot THT</t>
  </si>
  <si>
    <t>Een product dat zijn gegarandeerde potentie niet haalt tot de houdbaarheidsdatum misleidt de consument over de werkzame dosering die zij dagelijks innemen. Dit is een directe misleiding over de gecommuniceerde werkzaamheid.</t>
  </si>
  <si>
    <t>Niet 8+ want stabiliteitsdata is een kwaliteitsborging van een product dat al anderszins goed is beoordeeld.</t>
  </si>
  <si>
    <t>Niet lager dan 6 want het garandeert dat de gecommuniceerde dosering tot het einde van de houdbaarheid geldt.</t>
  </si>
  <si>
    <t>Kritisch: een product zonder stabiliteitsgarantie claimt een dosering die het mogelijk niet levert.</t>
  </si>
  <si>
    <t xml:space="preserve">  Core Quality – Delivery Claims</t>
  </si>
  <si>
    <t>Technologieclaims functioneel onderbouwd</t>
  </si>
  <si>
    <t>'Liposomaal', 'delayed release', 'enterisch' zijn de meest misbruikte delivery-claims. De meeste producten met deze claims hebben geen functionele delivery-technologie. Weight 6 want het raakt de kernpositionering maar niet de basisveiligheid of werkzaamheid van de actieve stoffen zelf.</t>
  </si>
  <si>
    <t>Niet 8+ want een misleidende technologieclaim over liposomale vitamine C maakt het product niet schadelijk; het is slechts niet-superieur aan een standaard product.</t>
  </si>
  <si>
    <t>Niet lager dan 6 want het is een bewuste misleidingsstrategie die prijspremiums en aankoopbeslissingen beïnvloedt.</t>
  </si>
  <si>
    <t>Kritisch: een misleidende technologieclaim is de primaire verkoopargumentatie van veel premium producten.</t>
  </si>
  <si>
    <t xml:space="preserve">  Product Integrity – Verification</t>
  </si>
  <si>
    <t>Batch onafhankelijk getest door derde partij</t>
  </si>
  <si>
    <t>Eigen laboratoriumtesting heeft een inherent belangenconflict. Onafhankelijke testing is de enige manier om productkwaliteitsclaims te verifiëren zonder bias.</t>
  </si>
  <si>
    <t>Niet 10 want de onafhankelijkheid valt hiërarchisch onder de COA-accreditatie. Een onafhankelijk maar niet ISO 17025-geaccrediteerd lab heeft ook beperkingen.</t>
  </si>
  <si>
    <t>Niet lager dan 8 want eigen testing is fundamenteel niet-onafhankelijk en mist de kern van externe verificatie.</t>
  </si>
  <si>
    <t>Kritisch: een product dat uitsluitend intern is getest heeft geen onafhankelijke kwaliteitsbevestiging.</t>
  </si>
  <si>
    <t>Lab ISO 17025 geaccrediteerd</t>
  </si>
  <si>
    <t>Accreditatie garandeert dat het lab aan internationale kwaliteitsnormen voldoet. Dit criterium staat hiërarchisch onder het onafhankelijke testing-criterium (8): eerst onafhankelijkheid, dan kwaliteit van die onafhankelijkheid.</t>
  </si>
  <si>
    <t>Niet 8 want het is de kwaliteitslaag van de onafhankelijkheid, niet de onafhankelijkheid zelf.</t>
  </si>
  <si>
    <t>Niet lager dan 6 want een niet-geaccrediteerd onafhankelijk lab geeft slechts de schijn van verificatie.</t>
  </si>
  <si>
    <t>Kritisch: een niet-geaccrediteerd lab maakt de onafhankelijke testing bewijstechnisch waardeloos.</t>
  </si>
  <si>
    <t>Testresultaten publiek beschikbaar</t>
  </si>
  <si>
    <t>Beschikbaarheid van testresultaten maakt onafhankelijke verificatie door derden mogelijk. Relevant voor Funcify's beoordelingsproces en voor professionele gebruikers.</t>
  </si>
  <si>
    <t>Niet hoger want het is een transparantiecriterium, niet een directe kwaliteitsindicator.</t>
  </si>
  <si>
    <t>Niet lager dan 5 want niet-publieke resultaten beperken onafhankelijke verificatie ernstig.</t>
  </si>
  <si>
    <t>Niet kritisch: veel kwalitatieve merken leveren op verzoek testresultaten aan zonder ze actief publiek te maken.</t>
  </si>
  <si>
    <t>Batchnummer op COA matcht product</t>
  </si>
  <si>
    <t>Een COA zonder batchkoppeling bewijst niets over het verkochte product. Dit is een veelgebruikte praktijk waarbij een éénmalige test als permanent bewijs voor alle batches wordt gepresenteerd.</t>
  </si>
  <si>
    <t>Niet 10 want de COA-aanwezigheid (10) staat hoger. Dit criterium valideert de batch-specificiteit van de al aanwezige COA.</t>
  </si>
  <si>
    <t>Niet lager dan 7 want een COA zonder batch-match is voor de consument niet meer waard dan geen COA.</t>
  </si>
  <si>
    <t>Kritisch: een niet-gematcht batchnummer maakt de COA onbruikbaar als bewijs voor het specifieke product.</t>
  </si>
  <si>
    <t>Analysepakket passend bij producttype</t>
  </si>
  <si>
    <t>Een omega-3 product zonder TOTOX-meting of een botanisch product zonder pesticidentest heeft een inadequaat analysepakket voor zijn risicocategorie.</t>
  </si>
  <si>
    <t>Niet 8+ want dit criterium beoordeelt de dekking van het testpakket, niet de uitkomsten.</t>
  </si>
  <si>
    <t>Niet lager dan 6 want een inadequaat analysepakket laat belangrijke risico's systematisch ongetest.</t>
  </si>
  <si>
    <t>Kritisch: een structureel onvolledig analysepakket voor de risicocategorie is een bewuste of onbewuste omissie van relevante veiligheidstesting.</t>
  </si>
  <si>
    <t>Testfrequentie passend bij productievolume</t>
  </si>
  <si>
    <t>Een éénmalige test voor miljoenen capsules is niet representatief voor batch-consistentie. Hogere testfrequentie geeft meer zekerheid.</t>
  </si>
  <si>
    <t>Niet hoger want testfrequentie is een procescriterium, niet direct bepalend voor de kwaliteit van het beoordeelde product.</t>
  </si>
  <si>
    <t>Niet lager dan 4 want frequentie bepaalt de representativiteit van de beschikbare data.</t>
  </si>
  <si>
    <t>Niet kritisch: lage testfrequentie verhoogt het risico maar is geen bewijs van kwaliteitsproblemen.</t>
  </si>
  <si>
    <t>Resultaten binnen veilige limieten</t>
  </si>
  <si>
    <t>De aanwezigheid van een COA is niet voldoende als de resultaten de veiligheidslimieten overschrijden. Dit criterium vangt de inhoud van het bewijs, niet alleen de aanwezigheid. Weight 7 omdat het de uitkomst van de testing beoordeelt, die onder de accreditatie (6) staat maar boven de formele verificatieprocessen.</t>
  </si>
  <si>
    <t>Niet 10 want het COA-criterium (poort) staat hoger. Dit is de inhoudsbeoordeling van wat door de poort is gekomen.</t>
  </si>
  <si>
    <t>Niet lager dan 7 want overschrijding van normen is een directe veiligheidsfout.</t>
  </si>
  <si>
    <t>Kritisch: aantoonbare normoverschrijding is een directe gezondheidsbedreiging.</t>
  </si>
  <si>
    <t>Erkende kwaliteitscertificering aanwezig</t>
  </si>
  <si>
    <t>IFOS, Creapure, NZVT, Informed Sport geven aanvullende zekerheid bij specifieke producttypes. Niet universeel toepasbaar.</t>
  </si>
  <si>
    <t>Niet hoger want certificering is producttype-afhankelijk en niet voor alle supplementen beschikbaar of relevant.</t>
  </si>
  <si>
    <t>Niet lager dan 4 want certificering van erkende organisaties geeft een extra kwaliteitslaag.</t>
  </si>
  <si>
    <t>Niet kritisch: het ontbreken van certificering bij een product dat er doorgaans niet voor certificeert is geen kwaliteitsgebrek.</t>
  </si>
  <si>
    <t>Productiepartij intern traceerbaar</t>
  </si>
  <si>
    <t>Interne traceerbaarheid is vereist voor effectief recall-management en kwaliteitscontrole per batch.</t>
  </si>
  <si>
    <t>Niet 8+ want interne traceerbaarheid is een procescriterium dat de consument niet direct beschermt tenzij een recall noodzakelijk is.</t>
  </si>
  <si>
    <t>Niet lager dan 5 want zonder traceerbaarheid is een effectieve recall niet uitvoerbaar.</t>
  </si>
  <si>
    <t>Kritisch: ontbreken van interne traceerbaarheid maakt adequaat recall-management onmogelijk.</t>
  </si>
  <si>
    <t>Consistent tussen batches</t>
  </si>
  <si>
    <t>Batch-inconsistentie betekent dat een consument niet weet welk product hij werkelijk koopt. Relevant maar moeilijk te verifiëren zonder meerdere batchanalyses.</t>
  </si>
  <si>
    <t>Niet hoger want consistentie is een kwaliteitsaspect dat moeilijk extern te beoordelen is.</t>
  </si>
  <si>
    <t>Niet lager dan 5 want significante batch-inconsistentie ondermijnt de betrouwbaarheid van elke afzonderlijke beoordeling.</t>
  </si>
  <si>
    <t>Niet kritisch: enige variatie is productiepraktisch acceptabel zolang het binnen specificaties valt.</t>
  </si>
  <si>
    <t>Niet in recalls of toezichthouderwaarschuwingen</t>
  </si>
  <si>
    <t>Een actieve recall of NVWA/RASFF-waarschuwing is de meest directe externe veiligheidsindicator. Weight 5 verhoogd van 3 vanwege de directe veiligheidssignaalwaarde.</t>
  </si>
  <si>
    <t>Niet 8+ want een historische recall bewijst niet dat het huidige product problematisch is; het is een risicosignaal.</t>
  </si>
  <si>
    <t>Niet lager dan 5 want een recall-geschiedenis is een significante waarschuwingsvlag.</t>
  </si>
  <si>
    <t>Niet kritisch: een historische recall van een specifieke batch maakt het product niet per definitie onveilig in de huidige formulering.</t>
  </si>
  <si>
    <t>Vrij van dopingrelevante contaminanten bij sport</t>
  </si>
  <si>
    <t>Relevant alleen bij sportgepositioneerde producten. Dopingcontaminatie is een carrièrerisico voor competitieve sporters. In de sportmodule wordt dit verhoogd naar 9.</t>
  </si>
  <si>
    <t>Niet 8+ in de kernlaag want dit criterium is alleen relevant bij een subset van producten.</t>
  </si>
  <si>
    <t>Niet lager dan 5 want dopingcontaminatie is een ernstige, irreversibele consequentie.</t>
  </si>
  <si>
    <t>Kritisch bij sportproducten: een positieve dopingtest vernietigt de carrière van een atleet.</t>
  </si>
  <si>
    <t>BPA-migratie en plasticizers zijn relevant bij vetoplosbare supplementen in plastic verpakking. Specifiek voor softgels in PVC-blisterverpakking.</t>
  </si>
  <si>
    <t>Niet hoger want het is een risicofactor bij specifieke producttypes, niet universeel.</t>
  </si>
  <si>
    <t>Niet lager dan 5 want plasticizer-contaminatie van vetoplosbare supplementen is een reëel maar onderbewust risico.</t>
  </si>
  <si>
    <t>Niet kritisch: het risico is productspecifiek en de prevalentie van significante contaminatie is laag.</t>
  </si>
  <si>
    <t xml:space="preserve">  Claim Fit / Purpose Fit</t>
  </si>
  <si>
    <t>Primaire werking duidelijk identificeerbaar</t>
  </si>
  <si>
    <t>De consument moet binnen seconden kunnen begrijpen waarvoor het product bedoeld is. Een onduidelijke positionering bemoeilijkt de beoordeling van claim-fit.</t>
  </si>
  <si>
    <t>Niet hoger want dit is een communicatiecriterium, geen kwaliteitscriterium.</t>
  </si>
  <si>
    <t>Niet lager dan 3 want onduidelijke positionering maakt claim-fit-beoordeling subjectief.</t>
  </si>
  <si>
    <t>Niet kritisch: een onduidelijk gecommuniceerd doel is verwarrend maar niet gevaarlijk.</t>
  </si>
  <si>
    <t>Hoofdingrediënten logisch bij primaire claim</t>
  </si>
  <si>
    <t>Een slaapproduct met primair cafeïne, een energieproduct met uitsluitend valeriaan — de combinatie van claim en formulering moet logisch zijn. Weight 6 want het raakt de kern van de belofte.</t>
  </si>
  <si>
    <t>Niet 8+ want claim-fit is deels subjectief en afhankelijk van de beoogde gebruiker.</t>
  </si>
  <si>
    <t>Niet lager dan 6 want een formulering die de claim actief ondermijnt is een fundamentele misleiding.</t>
  </si>
  <si>
    <t>Kritisch: een formulering die direct ingaat tegen de geclaimde werking is een actieve misleiding.</t>
  </si>
  <si>
    <t>Doseringen van hoofdingrediënten passend bij doel</t>
  </si>
  <si>
    <t>Een slaapproduct met 0,5 mg melatonine ipv 0,5-1 mg kan nog werken; 0,01 mg is een label decoration. Dit criterium valideert of de dosering de claim kan ondersteunen.</t>
  </si>
  <si>
    <t>Niet 8 want het doseercriterium in Dosage &amp; Evidence (8) beoordeelt al de klinische relevantie. Dit criterium beoordeelt de specifieke claim-fit.</t>
  </si>
  <si>
    <t>Niet lager dan 6 want een ondergekwalificeerde dosering voor de geclaimde toepassing is directe misleiding.</t>
  </si>
  <si>
    <t>Kritisch: doseringen die de specifieke claim niet kunnen ondersteunen maken de productbelofte onwaar.</t>
  </si>
  <si>
    <t>Impliciete ziekteclaims of therapeutische claims</t>
  </si>
  <si>
    <t>Impliciete therapeutische claims ('ondersteunt gezonde bloeddruk' kan bij sommigen als medische claim worden geïnterpreteerd) zijn een compliance-risico en misleiden over de aard van het product.</t>
  </si>
  <si>
    <t>Niet 8+ want impliciete claims zijn interpretatiegevoelig en de directe gezondheidsschade is beperkter dan formuleringsproblemen.</t>
  </si>
  <si>
    <t>Niet lager dan 6 want misleidende therapeutische claims beïnvloeden direct koopbeslissingen van kwetsbare consumenten.</t>
  </si>
  <si>
    <t>Kritisch: impliciete ziekteclaims zijn in de EU wettelijk verboden en actief misleidend.</t>
  </si>
  <si>
    <t>Claims consistent tussen etiket, website en marketing</t>
  </si>
  <si>
    <t>Discrepanties tussen etiket en website-claims zijn een actieve misleidingsindicator. Sommige merken plaatsen op het etiket EU-conforme claims en op de website ongefundeerde therapeutische claims.</t>
  </si>
  <si>
    <t>Niet 8+ want inconsistentie is een communicatiegebrek, minder ernstig dan formuleringsfouten.</t>
  </si>
  <si>
    <t>Niet lager dan 5 want bewuste inconsistentie is een misleidingsstrategie.</t>
  </si>
  <si>
    <t>Kritisch: bewuste inconsistentie tussen kanalen is een actieve misleidingstactiek.</t>
  </si>
  <si>
    <t xml:space="preserve">  Delivery &amp; Excipients</t>
  </si>
  <si>
    <t>Toedieningsvorm passend bij producttype</t>
  </si>
  <si>
    <t>Een tablet voor een product dat maagzuurresistentie vereist vs. een enterische capsule. De toedieningsvorm beïnvloedt de werkzaamheid.</t>
  </si>
  <si>
    <t>Niet hoger want dit is een verfijningscriterium dat pas relevant is nadat de basisformulering is beoordeeld.</t>
  </si>
  <si>
    <t>Niet lager dan 4 want een onjuiste toedieningsvorm kan de werkzaamheid van het product significant verminderen.</t>
  </si>
  <si>
    <t>Niet kritisch: suboptimale toedieningsvorm vermindert effectiviteit maar is doorgaans niet gevaarlijk.</t>
  </si>
  <si>
    <t>Suiker/polyolbelasting passend</t>
  </si>
  <si>
    <t>Gummies met meer suiker dan actieve stof zijn een reëel kwaliteitsprobleem. Hoge polyolbelasting veroorzaakt GI-bijwerkingen. Weight 6 en Critical=Y vanwege de directe impact op de kwaliteitsintegriteit bij een groeiende productcategorie.</t>
  </si>
  <si>
    <t>Niet 8+ want suikerbelasting is een formuleringsgebrek, niet een veiligheidsprobleem in de klassieke zin.</t>
  </si>
  <si>
    <t>Niet lager dan 6 want een product met meer suiker dan actief ingrediënt is inhoudelijk misleidend.</t>
  </si>
  <si>
    <t>Kritisch: een gummieproduct waarbij suiker domineert over werkzame stof is een directe kwaliteitsintegriteitsschending.</t>
  </si>
  <si>
    <t>10 capsules per dag als aanbevolen dosering ondermijnt therapietrouw structureel. Non-compliance door onpraktische portiegrootte maakt het supplement effectief nutteloos.</t>
  </si>
  <si>
    <t>Niet hoger want gebruiksgemak is een praktisch comfort-criterium, geen directe kwaliteitsindicator.</t>
  </si>
  <si>
    <t>Niet lager dan 5 want therapietrouw is direct gekoppeld aan de effectiviteit van het supplement.</t>
  </si>
  <si>
    <t>Niet kritisch: een onpraktisch portieringsadvies is een kwaliteitsgebrek in gebruikerservaring, niet een veiligheidsprobleem.</t>
  </si>
  <si>
    <t>Enterische/delayed release claims functioneel onderbouwd</t>
  </si>
  <si>
    <t>Een coating die claimeert maagzuurbestendig te zijn maar dat niet is, ondermijnt de werkzaamheid van gevoelige ingrediënten direct.</t>
  </si>
  <si>
    <t>Niet 6+ want dit is een specifieke subcategorie van de bredere technologieclaims (6 in Delivery Claims).</t>
  </si>
  <si>
    <t>Niet lager dan 4 want een niet-functionele coating is een directe kwaliteitsmisleiding.</t>
  </si>
  <si>
    <t>Kritisch: een niet-functionele beschermende coating bij een ingrediënt dat maagzuurbescherming vereist maakt de kern van de productpositionering onwaar.</t>
  </si>
  <si>
    <t xml:space="preserve">  Sustainability &amp; Supply Chain</t>
  </si>
  <si>
    <t>Duurzaamheidscertificering waar relevant</t>
  </si>
  <si>
    <t>MSC voor visolie, Rainforest Alliance voor botanicals zijn relevante duurzaamheidsindicatoren voor de bewuste consument. Lage weight omdat duurzaamheid geen directe kwaliteitsimplicatie heeft.</t>
  </si>
  <si>
    <t>Niet hoger want duurzaamheid is een waardenkeuze, geen kwaliteits- of veiligheidscriterium.</t>
  </si>
  <si>
    <t>Niet lager dan 3 want het is een relevante transparantie-indicator voor een groeiende consumentenvraag.</t>
  </si>
  <si>
    <t>Niet kritisch: het ontbreken van duurzaamheidscertificering maakt een product niet minder kwalitatief.</t>
  </si>
  <si>
    <t>Vegan/vegetarisch geschiktheid correct gecommuniceerd</t>
  </si>
  <si>
    <t>Gelatinecapsules bij een als 'vegan' gepositioneerd product zijn een directe misleiding. Dierlijke hulpstoffen zonder vermelding is een transparantiegebrek.</t>
  </si>
  <si>
    <t>Niet hoger want het betreft een specifieke doelgroepkwestie, geen universeel kwaliteitsprobleem.</t>
  </si>
  <si>
    <t>Niet lager dan 4 want voor veganistische consumenten is dit een essentiële transparantie-informatie.</t>
  </si>
  <si>
    <t>Niet kritisch: een onjuiste vegan-claim is misleidend maar heeft geen gezondheidsgevolgen.</t>
  </si>
  <si>
    <t>Productie- en testlocatie vermeld</t>
  </si>
  <si>
    <t>Non-EU productie zonder EU GMP-erkenning heeft een ander risiconiveau. Transparantie over locatie helpt bij risicoprofilering.</t>
  </si>
  <si>
    <t>Niet hoger want locatie is contextueel, de GMP-certifcering beoordeelt al de productiepraktijk.</t>
  </si>
  <si>
    <t>Niet lager dan 3 want het is relevante achtergrondinformatie voor een volledige risicobeoordeling.</t>
  </si>
  <si>
    <t>Niet kritisch: productielocatie is een contextfactor, de kwaliteit wordt via andere criteria beoordeeld.</t>
  </si>
  <si>
    <t>Funcify — Module Weight Verantwoording</t>
  </si>
  <si>
    <t>Per module-criterium: waarom heeft het dit gewicht en niet één punt hoger of lager? Waarom is het wel of niet kritisch? Module-criteria worden gescoord bovenop de Core Engine voor het betreffende producttype.</t>
  </si>
  <si>
    <t>Module</t>
  </si>
  <si>
    <t xml:space="preserve">  Module: Omega3</t>
  </si>
  <si>
    <t>EPA + DHA exact per dosering vermeld en totale omega-3 gedeclareerd</t>
  </si>
  <si>
    <t>EPA en DHA zijn de actief werkzame fractions. 'Visolie 1000 mg' zonder EPA/DHA-specificatie zegt niets over de werkzame inhoud. Hoog gewicht want dit bepaalt de therapeutische dosering.</t>
  </si>
  <si>
    <t>Niet 10 want de COA-poort (kernlaag) staat hoger. Dit is een labeling-criterium, niet het bewijs van de inhoud.</t>
  </si>
  <si>
    <t>Niet lager dan 8 want zonder EPA/DHA-specificatie is de dagelijkse therapeutische dosering onbeoordeelbaar.</t>
  </si>
  <si>
    <t>Kritisch: zonder EPA/DHA-declaratie is een omega-3 product niet zinvol te beoordelen.</t>
  </si>
  <si>
    <t>Vorm gespecificeerd (TG/rTG/PL/EE) en plausibel</t>
  </si>
  <si>
    <t>rTG en TG hebben betere biobeschikbaarheid dan EE. Relevant voor productevaluatie maar minder kritisch dan de werkzame inhoud.</t>
  </si>
  <si>
    <t>Niet 8+ want de biobeschikbaarheidsverschillen zijn klinisch relevant maar niet dramatisch bij voldoende EPA/DHA-dosering.</t>
  </si>
  <si>
    <t>Niet lager dan 6 want de vorm beïnvloedt de opname significant, met name in nuchtere toestand.</t>
  </si>
  <si>
    <t>Niet kritisch: EE-vorm is inferieur maar niet onveilig. De dosering en zuiverheid zijn belangrijker.</t>
  </si>
  <si>
    <t>Oxidatiecontrole batch-specifiek en onder IFOS-normen (TOTOX ≤26)</t>
  </si>
  <si>
    <t>Geoxideerde visolie is niet alleen ineffectief maar potentieel pro-inflammatoir — het tegendeel van het beoogde effect. TOTOX &gt;26 is een directe kwaliteitsfout. Hoog gewicht omdat oxidatie de kern van het product aantast.</t>
  </si>
  <si>
    <t>Niet 10 want oxidatie is een kwaliteitsprobleem, niet acuut gevaarlijk zoals zware metalen.</t>
  </si>
  <si>
    <t>Niet lager dan 9 want geoxideerde omega-3 heeft een bewezen negatief gezondheidseffect.</t>
  </si>
  <si>
    <t>Kritisch: geoxideerde omega-3 heft het therapeutische effect op en kan schadelijk zijn.</t>
  </si>
  <si>
    <t>Dioxines en PCB's batch-specifiek getest en binnen limieten</t>
  </si>
  <si>
    <t>Maximaal gewicht in de module. Dioxines en PCB's zijn persistent organisch-toxische verbindingen die akkumuleren. Mariene oliën zijn de primaire blootstellingsbron in de voedingsketen. Geen nuance bij overschrijding.</t>
  </si>
  <si>
    <t>Dit gewicht is maximaal en niet te verlagen: het is een absolute veiligheidsgrens.</t>
  </si>
  <si>
    <t>Niet lager dan 10 want dioxine- en PCB-blootstelling is cumulatief en irreversibel.</t>
  </si>
  <si>
    <t>Kritisch: dioxinen en PCB's boven normen zijn een absolute gezondheidsbedreiging zonder therapeutisch voordeel.</t>
  </si>
  <si>
    <t>Zware metalen ruim onder EU-limieten voor mariene producten</t>
  </si>
  <si>
    <t>Mariene oliën hebben het hoogste risico op kwik, lood en arseen van alle supplementcategorieën. Dit criterium vervangt het kernlaag zware-metalencriterium (6) met een categoriespecifiek maximaal gewicht.</t>
  </si>
  <si>
    <t>Dit gewicht is maximaal in de context van mariene producten.</t>
  </si>
  <si>
    <t>Niet lager dan 10 want kwik-accumulatie bij vette vis is een gedocumenteerd volksgezondheidsprobleem.</t>
  </si>
  <si>
    <t>Kritisch: zware metalen in mariene producten boven limieten zijn een absolute gezondheidsbedreiging.</t>
  </si>
  <si>
    <t>Antioxidantbescherming aanwezig (tocoferolen) en verpakking geschikt</t>
  </si>
  <si>
    <t>Antioxidanten zoals vitamine E beschermen tegen oxidatie tijdens opslag. Relevant maar minder kritisch dan de oxidatiemeting zelf.</t>
  </si>
  <si>
    <t>Niet hoger want de oxidatiemeting (9) beoordeelt het werkelijke resultaat; de antioxidantbescherming is de preventiemaatregel.</t>
  </si>
  <si>
    <t>Niet lager dan 5 want adequate bescherming is een kwaliteitsborging voor de periode tot consumptie.</t>
  </si>
  <si>
    <t>Niet kritisch: ontbrekende antioxidantbescherming verhoogt het oxidatierisico maar is niet direct gevaarlijk.</t>
  </si>
  <si>
    <t>EPA+DHA dosering klinisch relevant (dagdosering)</t>
  </si>
  <si>
    <t>Een dagdosering onder 500 mg EPA+DHA is voor de meeste therapeutische doelen onvoldoende. Dit criterium beoordeelt de klinische relevantie van de omega-3 dosering specifiek.</t>
  </si>
  <si>
    <t>Niet 9+ want de klinische relevantie is doelgroep- en indicatieafhankelijk.</t>
  </si>
  <si>
    <t>Niet lager dan 7 want een product dat claimt cardiovasculair gezondheid te ondersteunen maar minder dan 500 mg EPA+DHA levert, onderbouwt zijn claim onvoldoende.</t>
  </si>
  <si>
    <t>Niet kritisch: een ondergekwalificeerde omega-3 dosering is ineffectief maar niet gevaarlijk.</t>
  </si>
  <si>
    <t>Brontransparantie aanwezig (vissoort of algensoort)</t>
  </si>
  <si>
    <t>Transparantie over de bron ondersteunt de duurzaamheidsbeoordeling en risicoprofilering. Informatief maar secundair aan de kwaliteitsparameters.</t>
  </si>
  <si>
    <t>Niet hoger want brontransparantie is een aanvullende informatielaag, geen directe kwaliteitsindicator.</t>
  </si>
  <si>
    <t>Niet lager dan 4 want bronkennis is relevant voor duurzaamheid en voor professionals die specifieke bronnen vermijden.</t>
  </si>
  <si>
    <t>Niet kritisch: ontbrekende broninformatie is een transparantiegebrek, geen kwaliteitsfout.</t>
  </si>
  <si>
    <t>Onafhankelijke kwaliteitscertificering aanwezig (IFOS indien geclaimd)</t>
  </si>
  <si>
    <t>IFOS-certificering is de sectorstandaard voor omega-3 kwaliteit. Relevant als aanvullende zekerheid maar niet vereist voor een kwalitatief goed product.</t>
  </si>
  <si>
    <t>Niet hoger want certificering is vrijwillig en een product zonder certificering kan nog steeds alle kwaliteitsparameters halen.</t>
  </si>
  <si>
    <t>Niet lager dan 4 want het is een erkende kwaliteitsstandaard die extra zekerheid biedt.</t>
  </si>
  <si>
    <t>Niet kritisch: ontbrekende IFOS-certificering is geen kwaliteitsgebrek als de testresultaten zelf beschikbaar zijn.</t>
  </si>
  <si>
    <t>Dopingcertificering aanwezig bij sportpositionering</t>
  </si>
  <si>
    <t>Bij sportgepositioneerde omega-3 producten is dopingcontaminatie een carrièrerisico. Weight 7 in lijn met andere kritische sportveiligheidscriteria.</t>
  </si>
  <si>
    <t>Niet 9+ want dopingcontaminatie van omega-3 is minder prevalent dan bij complexe sportformules.</t>
  </si>
  <si>
    <t>Niet lager dan 7 want een positieve dopingtest door een als 'sportproduct' verkochte omega-3 is een vermijdbaar risico.</t>
  </si>
  <si>
    <t>Kritisch: dopingcontaminatie bij een als sportproduct gepositioneerd supplement is een directe atleet-beschermingsverplichting.</t>
  </si>
  <si>
    <t xml:space="preserve">  Module: Probiotic</t>
  </si>
  <si>
    <t>Genus + species + straincode volledig vermeld</t>
  </si>
  <si>
    <t>Een probioticum wordt op stramnaam aanbevolen voor specifieke therapeutische toepassingen. Zonder volledige strainidentificatie is gerichte aanbeveling onmogelijk.</t>
  </si>
  <si>
    <t>Niet 10 want de analytische bevestiging van de strain-identiteit (9) staat hoger.</t>
  </si>
  <si>
    <t>Niet lager dan 8 want zonder straincode is therapeutische equivalentie niet te beoordelen.</t>
  </si>
  <si>
    <t>Kritisch: een probioticum zonder volledige strainidentificatie is therapeutisch niet inzetbaar.</t>
  </si>
  <si>
    <t>CFU per strain gespecificeerd (niet alleen totaal)</t>
  </si>
  <si>
    <t>Een product met 10 miljard CFU totaal maar zonder specificatie per strain kan 99% uit één onwerkzame strain bestaan. CFU per strain is de relevante therapeutische eenheid.</t>
  </si>
  <si>
    <t>Niet 8+ want de totale CFU is ook een relevante indicator; CFU per strain is een verfijning.</t>
  </si>
  <si>
    <t>Niet lager dan 6 want bij multi-strain producten is de verdeling per strain bepalend voor de therapeutische waarde.</t>
  </si>
  <si>
    <t>Kritisch: zonder CFU per strain is de therapeutische werkzaamheid van de individuele strains onbeoordeelbaar.</t>
  </si>
  <si>
    <t>CFU gegarandeerd tot einde THT (niet 'at manufacture')</t>
  </si>
  <si>
    <t>Probiotica zijn levende organismen die degraderen tijdens opslag. 'At manufacture' CFU-garanties zijn zinloos als het product bij aankoop al grotendeels inactief is.</t>
  </si>
  <si>
    <t>Niet 10 want de strain-identiteitsbevestiging (9) staat hoger als primaire werkzaamheidsgarantie.</t>
  </si>
  <si>
    <t>Niet lager dan 8 want een CFU-garantie uitsluitend bij productie is een misleidende kwaliteitsclaim.</t>
  </si>
  <si>
    <t>Kritisch: een product dat bij aankoop grotendeels inactieve stammen bevat is therapeutisch waardeloos.</t>
  </si>
  <si>
    <t>Strain-identiteit analytisch bevestigd (bijv. whole genome sequencing)</t>
  </si>
  <si>
    <t>Zonder analytische bevestiging kan een fabrikant een goedkope strain verkopen als een klinisch onderzochte premium strain. Dit is de hoogste prioriteit in de probiotica-module.</t>
  </si>
  <si>
    <t>Niet 10 want dit criterium staat net onder de zware metalen/dioxine-criteria in de kernlaag die absolute veiligheidsdrempels bewaken.</t>
  </si>
  <si>
    <t>Niet lager dan 9 want foutieve strain-identificatie is de grootste fraudevector in de probiotica-markt.</t>
  </si>
  <si>
    <t>Kritisch: een verkeerde strain heeft een ander of geen therapeutisch effect en kan niet worden vervangen door de verwachte strain.</t>
  </si>
  <si>
    <t>Afwezigheid overdraagbare antibiotic resistance genes</t>
  </si>
  <si>
    <t>Overdraagbare antibiotic resistance genes zijn een volksgezondheidsprobleem. Probiotica die dergelijke genen bevatten kunnen resistentie overdragen op pathogenen in het darmmicrobioom.</t>
  </si>
  <si>
    <t>Niet 10 want het risico op overdracht is laag maar niet nul.</t>
  </si>
  <si>
    <t>Niet lager dan 9 want antibiotic resistance gene overdracht is een irreversibel volksgezondheidsprobleem.</t>
  </si>
  <si>
    <t>Kritisch: overdracht van antibiotic resistance is een ernstig volksgezondheidsprobleem zonder therapeutische tegenprestatie.</t>
  </si>
  <si>
    <t>Opslag en vochtbescherming passend</t>
  </si>
  <si>
    <t>Probiotica degraderen bij vocht en hoge temperatuur. Adequate bescherming is essentieel voor levensvatbaarheid.</t>
  </si>
  <si>
    <t>Niet 8+ want de daadwerkelijke levensvatbaarheid wordt gemeten via CFU-garantie (8).</t>
  </si>
  <si>
    <t>Niet lager dan 6 want inadequate verpakking ondermijnt de levensvatbaarheidsgarantie.</t>
  </si>
  <si>
    <t>Niet kritisch: slechte opslag vermindert effectiviteit maar vormt geen veiligheidsrisico.</t>
  </si>
  <si>
    <t>Stabiliteit aangetoond onder realistische opslagcondities</t>
  </si>
  <si>
    <t>Laboratoriumstabiliteit onder ideale omstandigheden is niet representatief voor consumentenopslag. Realistische stabiliteitstests geven zekerheid over het product in de praktijk.</t>
  </si>
  <si>
    <t>Niet 9+ want dit is een kwaliteitsborging bovenop de strain-identificatie.</t>
  </si>
  <si>
    <t>Niet lager dan 7 want het verschil tussen lab-stabiliteit en praktijkstabiliteit kan significant zijn.</t>
  </si>
  <si>
    <t>Kritisch: instabiliteit onder realistische omstandigheden maakt de THT-garantie ongeldig.</t>
  </si>
  <si>
    <t>Strain-specifieke klinische onderbouwing aanwezig</t>
  </si>
  <si>
    <t>Klinische data specifiek voor de gebruikte strain versterkt de therapeutische geloofwaardigheid significant.</t>
  </si>
  <si>
    <t>Niet 8+ want veel kwalitatieve probiotica-strains hebben beperkte maar toch relevante klinische data.</t>
  </si>
  <si>
    <t>Niet lager dan 6 want strain-specifieke onderbouwing is de basis voor therapeutische aanbevelingen.</t>
  </si>
  <si>
    <t>Niet kritisch: een gebrek aan strain-specifieke data maakt het product niet slechter; het vermindert de onderbouwing.</t>
  </si>
  <si>
    <t>Formulering ondersteunt maagzuuroverleving</t>
  </si>
  <si>
    <t>Enterische coatings en acid-resistant strains (Lactobacillus acidophilus) verhogen de kans op levende aankomst in de darm. Relevant maar niet universeel vereist.</t>
  </si>
  <si>
    <t>Niet hoger want maagzuurbestendigheid is strain-afhankelijk; sommige strains overleven prima zonder bescherming.</t>
  </si>
  <si>
    <t>Niet lager dan 5 want bij gevoelige strains is adequate bescherming bepalend voor therapeutische werkzaamheid.</t>
  </si>
  <si>
    <t>Niet kritisch: maagzuuroverleving is strain-specifiek; niet alle probiotica vereisen extra bescherming.</t>
  </si>
  <si>
    <t xml:space="preserve">  Module: Botanical</t>
  </si>
  <si>
    <t>Latijnse plantnaam, plantdeel en herkomst volledig vermeld</t>
  </si>
  <si>
    <t>Botanicals worden geïdentificeerd op genus + species niveau. Plantdeel (wortel vs. blad) heeft andere farmacologische samenstelling. Herkomst is relevant voor contaminatierisico en standaardisatie.</t>
  </si>
  <si>
    <t>Niet 10 want de analytische identiteitsbevestiging (9) staat hoger als bewijs.</t>
  </si>
  <si>
    <t>Niet lager dan 8 want zonder volledige taxonomische informatie is de therapeutische equivalentie niet beoordeelbaar.</t>
  </si>
  <si>
    <t>Kritisch: een botanical zonder volledige identificatie kan niet worden gematcht aan klinische studies.</t>
  </si>
  <si>
    <t>Extractratio en extracttype transparant</t>
  </si>
  <si>
    <t>5:1 extract vs 20:1 extract geeft een compleet ander actief gehalte bij dezelfde milligramaanduiding. Zonder extractratio is de dosering niet vergelijkbaar.</t>
  </si>
  <si>
    <t>Niet 8+ want extractratio is een verfijning bovenop de standaardisatiedata.</t>
  </si>
  <si>
    <t>Niet lager dan 6 want zonder extractratio is de effectieve dosering onbeoordeelbaar.</t>
  </si>
  <si>
    <t>Niet kritisch: ontbrekende extractratio is een informatietekortkoming, niet een veiligheidsgebrek.</t>
  </si>
  <si>
    <t>Standaardisatie op markercompound duidelijk vermeld</t>
  </si>
  <si>
    <t>Standaardisatie garandeert een consistent gehalte aan de actieve of markerfractie. Zonder standaardisatie is een botanisch extract niet reproduceerbaar doseerbaar.</t>
  </si>
  <si>
    <t>Niet 9+ want standaardisatie is een kwaliteitsgarantie, minder fundamenteel dan identiteitsbevestiging.</t>
  </si>
  <si>
    <t>Niet lager dan 7 want zonder standaardisatie is batch-consistentie niet te garanderen.</t>
  </si>
  <si>
    <t>Kritisch: een niet-gestandaardiseerd extract heeft een onbekende therapeutische potentie.</t>
  </si>
  <si>
    <t>Botanische identiteit analytisch bevestigd</t>
  </si>
  <si>
    <t>Botanische adulteratie met goedkopere of gevaarlijkere plantensoorten is een gedocumenteerd en wijdverbreid probleem. HPLC/HPTLC-bevestiging is de gouden standaard.</t>
  </si>
  <si>
    <t>Niet 10 want het risico is real maar de directe acuut toxische consequentie is in de meeste gevallen minder ernstig dan zware metalen of dioxines.</t>
  </si>
  <si>
    <t>Niet lager dan 9 want botanische adulteratie is de meest prevalente fraudevorm in de supplement-botanicale markt.</t>
  </si>
  <si>
    <t>Kritisch: adulteratie met een andere plantensoort maakt het product therapeutisch onwerkzaam of gevaarlijk.</t>
  </si>
  <si>
    <t>Adulteratie of botanische substitutie uitgesloten</t>
  </si>
  <si>
    <t>Synthetische toevoeging van markerstoffen (bijv. gesynthetiseerde ginsenosiden aan goedkoop ginsengpoeder) is een geavanceerde fraudevorm die standaard HPLC-analyse kan misleiden.</t>
  </si>
  <si>
    <t>Niet 10 want de directe gezondheidsbedreiging is lager dan zware metalen, maar de fraude-impact is maximaal.</t>
  </si>
  <si>
    <t>Niet lager dan 9 want adulteratie met synthetische stoffen is opzettelijke fraude met directe therapeutische consequenties.</t>
  </si>
  <si>
    <t>Kritisch: synthetische adulteratie maakt het product tot een frauduleus product.</t>
  </si>
  <si>
    <t>Pesticiden en herbiciden getest en binnen limieten</t>
  </si>
  <si>
    <t>Botanische grondstoffen, met name uit niet-biologische teelt, hebben een significant pesticidenrisico. Dit criterium heeft in de botanicals-module een hoger gewicht dan in de kernlaag.</t>
  </si>
  <si>
    <t>Niet 10 want pesticiden hebben doorgaans een chronisch, niet acuut toxisch profiel bij de gemeten residuniveaus.</t>
  </si>
  <si>
    <t>Niet lager dan 8 want pesticidenbelasting via dagelijkse suppletie van geconcentreerde extracten is een reëel chronisch blootstellingsrisico.</t>
  </si>
  <si>
    <t>Kritisch: pesticidenresiduen boven MRL zijn een directe regelovertreding en gezondheidsbedreiging.</t>
  </si>
  <si>
    <t>Mycotoxinen getest waar relevant</t>
  </si>
  <si>
    <t>Schimmelgevoelige botanische grondstoffen (ashwagandha, gember, kaneel) hebben risico op aflatoxinen en ochratoxine. Relevant bij producten uit tropische herkomstgebieden.</t>
  </si>
  <si>
    <t>Niet 9+ want het risico is sterk grondstofsspecifiek en niet universeel.</t>
  </si>
  <si>
    <t>Niet lager dan 7 want aflatoxines zijn potente carcinogenen die bij chronische blootstelling ernstig schade veroorzaken.</t>
  </si>
  <si>
    <t>Kritisch: mycotoxinen boven veiligheidslimieten zijn carcinogeen.</t>
  </si>
  <si>
    <t>Oplosmiddelresiduen binnen ICH Q3C limieten</t>
  </si>
  <si>
    <t>Geconcentreerde extracten worden vaak met organische oplosmiddelen vervaardigd. Residuen boven ICH Q3C-limieten zijn een veiligheidsprobleem.</t>
  </si>
  <si>
    <t>Niet 10 want de directe acute toxiciteit bij gangbare residuniveaus is beperkter dan zware metalen.</t>
  </si>
  <si>
    <t>Niet lager dan 8 want oplosmiddelresiduën zijn een procesmatig veiligheidsrisico bij extractiemethoden.</t>
  </si>
  <si>
    <t>Kritisch: residuen boven ICH Q3C limieten zijn een directe veiligheidsovertreding.</t>
  </si>
  <si>
    <t>Batch-to-batch consistentie markercompound</t>
  </si>
  <si>
    <t>Significante variatie in markercompound tussen batches maakt consistente therapeutische dosering onmogelijk.</t>
  </si>
  <si>
    <t>Niet 8+ want consistentie is een kwaliteitsaspect dat op de standaardisatie (7) voortbouwt.</t>
  </si>
  <si>
    <t>Niet lager dan 6 want grote batch-inconsistentie ondermijnt therapeutische reproduceerheid.</t>
  </si>
  <si>
    <t xml:space="preserve">  Module: Vitamin</t>
  </si>
  <si>
    <t>Vitaminevorm expliciet gedeclareerd voor alle vitaminen</t>
  </si>
  <si>
    <t>Vitamine-vormen bepalen biobeschikbaarheid en therapeutische inzetbaarheid direct. Dit criterium is categorie-specifiek sterker dan de kernlaag (8) want vitaminen hebben de meeste vormvariatie.</t>
  </si>
  <si>
    <t>Niet 10 want de kernlaag COA-poort staat hoger.</t>
  </si>
  <si>
    <t>Niet lager dan 7 want ontbrekende vorminformatie maakt therapeutische beoordeling onmogelijk.</t>
  </si>
  <si>
    <t>Kritisch: een vitamineproduct zonder vormdeclaratie is therapeutisch niet te beoordelen.</t>
  </si>
  <si>
    <t>Vitamine B6 dosering veilig voor langdurig gebruik (pyridoxine ≤25 mg/dag)</t>
  </si>
  <si>
    <t>Perifere neuropathie bij chronisch pyridoxine-gebruik boven 25 mg/dag is gedocumenteerd in klinische rapportages. Dit criterium is specifiek voor pyridoxine HCl, niet voor P-5-P. Hoog gewicht want het is een irreversibel neurologisch risico.</t>
  </si>
  <si>
    <t>Niet 10 want het risico treedt op bij langdurig gebruik, niet acuut. Weight 10 is gereserveerd voor acuut gevaarlijke overschrijdingen.</t>
  </si>
  <si>
    <t>Niet lager dan 8 want chronische neurotoxiciteit bij gangbare supplementdoseringen is een ernstig consumentrisico.</t>
  </si>
  <si>
    <t>Kritisch: langdurige pyridoxine-inname boven 25 mg/dag is geassocieerd met irreversibele neurologische schade.</t>
  </si>
  <si>
    <t>Vitamine A (retinol) hoog gedoseerd met duidelijke context</t>
  </si>
  <si>
    <t>Retinol-teratogeniciteit bij hoge inname tijdens zwangerschap is een vastgesteld klinisch risico. Retinolaccumulatie bij vetoplosbare stapeling. Dit criterium is zwaarder dan het kernlaag B6-criterium vanwege de zwangerschapsrisico's.</t>
  </si>
  <si>
    <t>Niet 9+ want het risico is doelgroep-specifiek (zwangeren, langdurig hoge inname).</t>
  </si>
  <si>
    <t>Niet lager dan 7 want retinol-teratogeniciteit is een gedocumenteerd en ernstig perinataal risico.</t>
  </si>
  <si>
    <t>Kritisch: hoge retinol-inname zonder waarschuwing bij zwangerschap is een directe teratogene bedreiging.</t>
  </si>
  <si>
    <t>Doseringen binnen veilige langdurige grenzen</t>
  </si>
  <si>
    <t>Hoge doses vetoplosbare vitaminen stapelen bij langdurige inname. Dit criterium beoordeelt de cumulatieve veiligheidspositie van de volledige vitaminenformule.</t>
  </si>
  <si>
    <t>Niet 10 want de impact is dosisafhankelijk en afhankelijk van de specifieke vitamine.</t>
  </si>
  <si>
    <t>Niet lager dan 8 want cumulatieve toxiciteit van vetoplosbare vitaminen bij langdurig hoge inname is een ernstig gezondheidsrisico.</t>
  </si>
  <si>
    <t>Kritisch: systematische overschrijding van veilige langdurige grenzen voor stapelende vitaminen is een directe gezondheidsbedreiging.</t>
  </si>
  <si>
    <t>Biobeschikbaarheidsclaims onderbouwd</t>
  </si>
  <si>
    <t>Liposomale vitaminclaims zijn momenteel frequent misbruikt in het vitamine-segment. Weight 5 in lijn met het kernlaag criterium voor biobeschikbaarheid.</t>
  </si>
  <si>
    <t>Niet 8+ want de gezondheidsschade van een niet-liposomale vitamine is beperkt — het is duurder maar niet gevaarlijk.</t>
  </si>
  <si>
    <t>Niet lager dan 5 want misleidende premium-positionering via ongefundeerde claims heeft directe financiële impact op consumenten.</t>
  </si>
  <si>
    <t>Kritisch: een misleidende liposomale claim is de kernpositionering van veel premium vitaminenproducten.</t>
  </si>
  <si>
    <t xml:space="preserve">  Module: Mineral</t>
  </si>
  <si>
    <t>Elementair mineraalgehalte per dosering vermeld</t>
  </si>
  <si>
    <t>Het verschil tussen 500 mg magnesiumoxide en 500 mg magnesiumbisglycinaat is enorm qua elementair magnesium. Alleen de elementaire hoeveelheid is relevant voor therapeutische dosering.</t>
  </si>
  <si>
    <t>Niet 10 want de COA staat hiërarchisch hoger.</t>
  </si>
  <si>
    <t>Niet lager dan 8 want zonder elementair gehalte is de therapeutische dosering niet te berekenen.</t>
  </si>
  <si>
    <t>Kritisch: zonder elementair gehalte is de therapeutische dosering volledig onbeoordeelbaar.</t>
  </si>
  <si>
    <t>Chemische vorm expliciet gedeclareerd</t>
  </si>
  <si>
    <t>Bisglycinaat vs citraat vs oxide zijn fundamenteel verschillende mineralenvormen qua biobeschikbaarheid. Dit is de meest impactvolle modulaire toevoeging op het kernlaag-vormencriterium.</t>
  </si>
  <si>
    <t>Niet 8 want het kernlaag-criterium (8) pakt de principiële eis al op; dit criterium versterkt het voor de mineralenmodule.</t>
  </si>
  <si>
    <t>Niet lager dan 7 want mineralenvormen bepalen direct de therapeutische waarde.</t>
  </si>
  <si>
    <t>Kritisch: een mineraalproduct zonder vormdeclaratie is therapeutisch niet te beoordelen.</t>
  </si>
  <si>
    <t>Magnesium niet primair als oxide geformuleerd</t>
  </si>
  <si>
    <t>Magnesiumoxide heeft een biobeschikbaarheid &lt;5% en veroorzaakt primair een laxerend effect. Het is het meest gebruikte en tegelijkertijd meest inferieure mineraalvorm. Specifiek criterium vanwege de enorme marktprevalentie van oxide-producten.</t>
  </si>
  <si>
    <t>Niet 10 want het is een kwaliteitsoordeel, niet een veiligheidsbedreiging.</t>
  </si>
  <si>
    <t>Niet lager dan 8 want de marktprevalentie van magnesiumoxide-misbruik rechtvaardigt dit expliciete criterium.</t>
  </si>
  <si>
    <t>Kritisch: een product met magnesiumoxide als hoofdvorm levert nauwelijks elementair magnesium en onderbouwt zijn effectiviteitsclaim niet.</t>
  </si>
  <si>
    <t>IJzer alleen met doelgroepcontext of indicatie</t>
  </si>
  <si>
    <t>IJzer zonder indicatie is geassocieerd met oxidatieve stress bij mensen met een normale ijzerstatus. IJzersuppletie is alleen zinvol bij aangetoond tekort. Hoog gewicht want het risico van onnodige ijzerinname is reëel en wijdverbreid.</t>
  </si>
  <si>
    <t>Niet 10 want het is een indicatiekwestie, geen absolute veiligheidsgrens.</t>
  </si>
  <si>
    <t>Niet lager dan 8 want proactief ijzer aanbevelen zonder indicatie heeft een bewezen nadelig effect bij een significante groep gebruikers.</t>
  </si>
  <si>
    <t>Kritisch: ijzer zonder indicatiecontext is therapeutisch ongerechtvaardigd en potentieel schadelijk.</t>
  </si>
  <si>
    <t>Jodiumdosering met schildkliercontext</t>
  </si>
  <si>
    <t>Jodium boven 150 mcg/dag is relevant bij schildklierproblematiek. De markering is voor Hashimoto, hyper- en hypothyreoïdie essentieel. Hoog gewicht vanwege de grote prevalentie van schildklierproblematiek in de doelgroep.</t>
  </si>
  <si>
    <t>Niet 10 want het risico is doelgroepspecifiek.</t>
  </si>
  <si>
    <t>Niet lager dan 8 want jodium-geïnduceerde schildklierproblemen zijn ernstig en kunnen een bestaand evenwicht verstoren.</t>
  </si>
  <si>
    <t>Kritisch: hoge jodiumdosering zonder schildkliercontext-waarschuwing is gevaarlijk voor een significante subcategorie gebruikers.</t>
  </si>
  <si>
    <t>Doseringen binnen veilige langdurige grenzen (EFSA UL)</t>
  </si>
  <si>
    <t>Mineralen hebben smalle therapeutische vensters. De UL voor selenium (300 mcg/dag) en koper (5 mg/dag) zijn dicht bij gangbare supplementdoseringen. Weight 9 in de mineralenmodule vanwege de hogere prevalentie van UL-nadering bij mineraalsupplementen.</t>
  </si>
  <si>
    <t>Niet 10 want het is een veiligheidsborging voor een bestaande formulering, niet een absolute poort zoals de COA.</t>
  </si>
  <si>
    <t>Niet lager dan 9 want mineraaloverdosering is een ernstig en onderschat risico in de supplementsector.</t>
  </si>
  <si>
    <t>Kritisch: overschrijding van EFSA UL-waarden voor mineralen is een directe veiligheidsfout.</t>
  </si>
  <si>
    <t xml:space="preserve">  Module: AminoAcid</t>
  </si>
  <si>
    <t>Vrije aminozuurvorm of equivalente actieve vorm vermeld</t>
  </si>
  <si>
    <t>Vrije aminozuren worden direct opgenomen; peptidegebonden vormen vereisen hydrolyse. De vorm bepaalt opname-kinetiek en therapeutisch profiel.</t>
  </si>
  <si>
    <t>Niet 10 want de identificatie van de werkzame stof (kernlaag) staat hoger.</t>
  </si>
  <si>
    <t>Niet lager dan 8 want aminozuurvorm bepaalt de opname-efficiëntie direct.</t>
  </si>
  <si>
    <t>Kritisch: een aminozuurproduct zonder vormdeclaratie is therapeutisch niet te beoordelen.</t>
  </si>
  <si>
    <t>L-vorm gebruikt waar biologisch relevant</t>
  </si>
  <si>
    <t>D-aminozuren zijn biologisch niet actief of zelfs antagonistisch in humane metabolisme. Racemische mengsels leveren slechts 50% biologisch actieve stof.</t>
  </si>
  <si>
    <t>Niet 9+ want de impact is afhankelijk van het specifieke aminozuur en de toepassing.</t>
  </si>
  <si>
    <t>Niet lager dan 7 want een racemisch mengsel halveert de effectieve biologische dosering.</t>
  </si>
  <si>
    <t>Kritisch: gebruik van D-aminozuren of racemische mengsels waar L-vorm vereist is ondermijnt de werkzaamheid fundamenteel.</t>
  </si>
  <si>
    <t>Creatine monohydraat als standaard of alternatief onderbouwd</t>
  </si>
  <si>
    <t>Creatine monohydraat is de meest onderzochte, veiligste en meest kosteneffectieve creatine-vorm. Alternatieve claims (Kre-Alkalyn, creatine HCl) zijn niet superieur in humane RCT's.</t>
  </si>
  <si>
    <t>Niet 10 want het is een kwaliteitsstandaard, niet een acute veiligheidsgrens.</t>
  </si>
  <si>
    <t>Niet lager dan 8 want marketing van inferieure creatine-alternatieven als superieur is een wijdverspreide misleiding.</t>
  </si>
  <si>
    <t>Kritisch: een creatineproduct dat inferieure alternatieven als superieur positioneert misleidt over bewezen werkzaamheid.</t>
  </si>
  <si>
    <t>Dosering klinisch relevant voor geclaimde werking</t>
  </si>
  <si>
    <t>Creatine onder 3 gram per dag bij een spierkrachtclaim, of BCAA onder 5 gram per dosis voor herstelclaims — klinische relevantie is bepalend voor de werkzaamheid.</t>
  </si>
  <si>
    <t>Niet 10 want de doseringscriterium staat hiërarchisch onder de verificatiepoort.</t>
  </si>
  <si>
    <t>Niet lager dan 8 want sub-therapeutische aminozuurdoseringen bij fitness/sport-claims zijn een directe misleiding.</t>
  </si>
  <si>
    <t>Kritisch: een aminozuurproduct met een niet-relevante dosering voor de geclaimde werking claimt effectiviteit die het niet kan leveren.</t>
  </si>
  <si>
    <t xml:space="preserve">  Module: Protein</t>
  </si>
  <si>
    <t>Geen amino spiking</t>
  </si>
  <si>
    <t>Amino spiking — toevoeging van goedkope vrije aminozuren (glycine, taurine, creatine) om de stikstofmeting te verhogen en zo een hoger eiwitgehalte te suggereren — is de meest prevalente fraudevorm in de sportvoedingsindustrie.</t>
  </si>
  <si>
    <t>Niet 10 want het is een kwaliteits-fraudecriterium, niet een directe veiligheidsbedreiging.</t>
  </si>
  <si>
    <t>Niet lager dan 9 want amino spiking is een bewuste, systematische kwaliteitsfraude.</t>
  </si>
  <si>
    <t>Kritisch: een product met amino spiking communiceert een eiwitgehalte dat het niet levert.</t>
  </si>
  <si>
    <t>Contaminanten batch-specifiek getest</t>
  </si>
  <si>
    <t>Plantaardige eiwitbronnen (erwt, rijst, hennep) hebben een verhoogd risico op zware metalencontaminatie vanwege bodemabsorptie. Melkwei van niet-gecertificeerde bronnen kan residuen bevatten.</t>
  </si>
  <si>
    <t>Niet 10 want het is een specifieke risicocategorie-test, niet de absolute verificatiepoort.</t>
  </si>
  <si>
    <t>Niet lager dan 9 want eiwitproducten worden in hoge dagelijkse hoeveelheden geconsumeerd, wat het risico van lage contaminatieniveaus vergroot.</t>
  </si>
  <si>
    <t>Kritisch: contaminanten in producten die in gramhoeveelheden dagelijks worden ingenomen vertegenwoordigen een significant cumulatief gezondheidsrisico.</t>
  </si>
  <si>
    <t xml:space="preserve">  Module: Polyphenol</t>
  </si>
  <si>
    <t>Actieve polyfenol exact gespecificeerd</t>
  </si>
  <si>
    <t>'Groene thee-extract' zegt niets zonder EGCG-percentage. 'Druivenpitten-extract' zonder OPC-specificatie is niet therapeutisch beoordeelbaar.</t>
  </si>
  <si>
    <t>Niet 10 want de analytische bevestiging staat hoger.</t>
  </si>
  <si>
    <t>Niet lager dan 8 want zonder actieve fractie-specificatie is therapeutische dosering onbeoordeelbaar.</t>
  </si>
  <si>
    <t>Kritisch: een polyfenolproduct zonder specificatie van de actieve fractie is therapeutisch niet zinvol.</t>
  </si>
  <si>
    <t>Adulteratie of synthetische toevoeging uitgesloten</t>
  </si>
  <si>
    <t>Synthetische toevoeging van resveratrol-analogon of EGCG-syntheseproducten aan goedkope extracten is een geavanceerde fraudevorm. Bijzonder prevalent in de resveratrol- en curcuminemarkt.</t>
  </si>
  <si>
    <t>Niet 10 want het is fraude, niet een directe acuut toxische bedreiging.</t>
  </si>
  <si>
    <t>Niet lager dan 9 want synthetische adulteratie maakt het product tot een frauduleus product zonder de geclaimde therapeutische fractie.</t>
  </si>
  <si>
    <t>Kritisch: polyfenolen zijn duur; frauduleuze adulteratie is een bewuste, systematische misleiding.</t>
  </si>
  <si>
    <t>Zware metalen getest bij geconcentreerde extracten</t>
  </si>
  <si>
    <t>Geconcentreerde plantextracten concentreren ook zware metalen. Bij curcumine-extracten is loodcontaminatie gedocumenteerd; bij groene thee-extract eveneens.</t>
  </si>
  <si>
    <t>Niet 10 want dit is een categorie-specifiek contaminatiecriterium, niet de absolute kernlaag-poort.</t>
  </si>
  <si>
    <t>Niet lager dan 8 want geconcentreerde extracten vertegenwoordigen een sterk verhoogd contaminatierisico.</t>
  </si>
  <si>
    <t>Kritisch: zware metalen in geconcentreerde extracten vormen een ernstige cumulatieve gezondheidsbedreiging.</t>
  </si>
  <si>
    <t xml:space="preserve">  Module: Enzyme</t>
  </si>
  <si>
    <t>Enzymactiviteit in erkende eenheden vermeld</t>
  </si>
  <si>
    <t>Een enzymproduct zonder activiteitseenheden (FCC, HUT, DPP-IV) is volledig onbeoordeelbaar. Milligram zegt niets over enzymatische activiteit.</t>
  </si>
  <si>
    <t>Niet 10 want het is een declaratiecriterium, niet een veiligheidscriterium.</t>
  </si>
  <si>
    <t>Niet lager dan 9 want zonder activiteitseenheden is vergelijking en dosering van enzymproducten onmogelijk.</t>
  </si>
  <si>
    <t>Kritisch: een enzymproduct zonder activiteitsspecificatie kan niet therapeutisch worden beoordeeld of gedoseerd.</t>
  </si>
  <si>
    <t>Maagzuurstabiliteit aangetoond</t>
  </si>
  <si>
    <t>Enzymen die bedoeld zijn voor systemische of lage-darm-werking moeten maagzuur overleven. Zonder bewijs van maagzuurstabiliteit is de therapeutische claim voor spijsverteringsondersteuning verdacht.</t>
  </si>
  <si>
    <t>Niet 10 want de activiteitsmeting (9) staat hoger als bewijs van werkzaamheid.</t>
  </si>
  <si>
    <t>Niet lager dan 8 want een enzym dat de maag niet overleeft heeft geen klinisch effect bij de beoogde toepassing.</t>
  </si>
  <si>
    <t>Kritisch: een enzym zonder aangetoonde maagzuurbestendigheid kan de geclaimde spijsverteringswerking niet uitoefenen.</t>
  </si>
  <si>
    <t xml:space="preserve">  Module: Lipid</t>
  </si>
  <si>
    <t>Lipidtype en bron gedeclareerd</t>
  </si>
  <si>
    <t>Ubiquinol vs ubiquinon, CLA vs omega-6 — de lipide-specificatie bepaalt het therapeutische profiel volledig.</t>
  </si>
  <si>
    <t>Niet 10 want het declaratiecriterium staat onder de COA-poort.</t>
  </si>
  <si>
    <t>Niet lager dan 8 want verschillende lipidevormen hebben fundamenteel verschillende biologische effecten.</t>
  </si>
  <si>
    <t>Kritisch: een lipideproduct zonder specificatie van het actieve lipidtype is therapeutisch niet te beoordelen.</t>
  </si>
  <si>
    <t>Oxidatiestabiliteit geborgd</t>
  </si>
  <si>
    <t>Geoxideerde lipiden (CoQ10, omega-6, CLA) zijn niet alleen ineffectief maar kunnen pro-oxidatief zijn. Hetzelfde principe als bij omega-3.</t>
  </si>
  <si>
    <t>Niet 10 want lipide-oxidatie bij niet-mariene producten is een kwaliteitsgebrek, minder acuut gevaarlijk dan dioxinen in visolie.</t>
  </si>
  <si>
    <t>Niet lager dan 8 want geoxideerde lipiden hebben bewezen nadelige effecten.</t>
  </si>
  <si>
    <t>Kritisch: geoxideerde lipiden hebben het tegenovergestelde effect van het beoogde therapeutische doel.</t>
  </si>
  <si>
    <t xml:space="preserve">  Module: Sport</t>
  </si>
  <si>
    <t>Informed Sport / NSF Certified for Sport certificering</t>
  </si>
  <si>
    <t>Erkende sportcertificering is de basisvereiste voor competitieve sporters. Zonder certificering is het risico op dopingcontaminatie niet uitgeслoten.</t>
  </si>
  <si>
    <t>Niet 9+ want certificering is het startpunt; de specifieke WADA-screening (9) en batch-testing (9) zijn inhoudelijk sterker.</t>
  </si>
  <si>
    <t>Niet lager dan 8 want voor competitieve sporters is een erkend keurmerk een minimumvereiste.</t>
  </si>
  <si>
    <t>Kritisch: een als sportproduct gepositioneerd supplement zonder erkende certificering biedt geen dopingzekerheid.</t>
  </si>
  <si>
    <t>WADA-prohibited substance screening bevestigd</t>
  </si>
  <si>
    <t>WADA-screening door een onafhankelijk lab is de inhoudelijke bevestiging dat geen verboden stoffen aanwezig zijn. Dit overstijgt de formele certificering.</t>
  </si>
  <si>
    <t>Niet 10 want WADA-screening is productspecifiek; batch-specifieke testing (9) staat op gelijk niveau.</t>
  </si>
  <si>
    <t>Niet lager dan 9 want een positieve dopingtest door een als 'WADA-clean' verkocht product is een irreversibele carrière-bedreiging.</t>
  </si>
  <si>
    <t>Kritisch: WADA-non-compliance bij een sportproduct is een directe atleet-beschermingsverplichting.</t>
  </si>
  <si>
    <t>Batch-specifieke dopingtest beschikbaar</t>
  </si>
  <si>
    <t>Een eenmalige WADA-screening op één batch garandeert niets over andere batches. Batch-specifieke testing is de enige verdediging tegen productieonafhankelijke variatie.</t>
  </si>
  <si>
    <t>Niet 10 want het is een verificatiecriterium bovenop de WADA-screening.</t>
  </si>
  <si>
    <t>Niet lager dan 9 want het ontbreken van batch-specifieke testing maakt elke dopinggarantie waardeloos.</t>
  </si>
  <si>
    <t>Kritisch: productiebatch-inconsistentie bij sportproducten is de meest voorkomende oorzaak van onbedoelde positieve doping-testen.</t>
  </si>
  <si>
    <t>Stimulant-achtige contaminanten uitgesloten (DMAA, DMHA, sibutramine)</t>
  </si>
  <si>
    <t>Verborgen stimulanten in sportproducten zijn een gedocumenteerd volksgezondheidsprobleem. DMAA is geassocieerd met cardiale incidenten. Dit overstijgt het dopingrisico: het is een directe veiligheidsbedreiging.</t>
  </si>
  <si>
    <t>Niet 10 want het is een contaminantenrisico, niet de absolute poort-verificatie.</t>
  </si>
  <si>
    <t>Niet lager dan 9 want verborgen stimulanten zijn gevaarlijk ongeacht het dopingrisico.</t>
  </si>
  <si>
    <t>Kritisch: verborgen stimulanten zijn een ernstige gezondheidsbedreiging en een absolute fraudevorm.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</si>
</sst>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charset val="1"/>
    </font>
    <font>
      <b/>
      <sz val="9"/>
      <color rgb="FF1A1A18"/>
      <name val="Calibri"/>
      <charset val="1"/>
    </font>
    <font>
      <b/>
      <sz val="9"/>
      <color rgb="FFD0CDC6"/>
      <name val="Calibri"/>
      <charset val="1"/>
    </font>
    <font>
      <b/>
      <sz val="11"/>
      <name val="Calibri"/>
      <family val="2"/>
      <charset val="1"/>
    </font>
    <font>
      <sz val="9"/>
      <color rgb="FF1A1A18"/>
      <name val="Calibri"/>
      <charset val="1"/>
    </font>
    <font>
      <i/>
      <sz val="8"/>
      <color rgb="FF888888"/>
      <name val="Calibri"/>
      <charset val="1"/>
    </font>
    <font>
      <sz val="8"/>
      <color rgb="FF1A1A18"/>
      <name val="Courier New"/>
      <charset val="1"/>
    </font>
    <font>
      <b/>
      <sz val="11"/>
      <color rgb="FFFF0000"/>
      <name val="Calibri"/>
      <family val="2"/>
      <charset val="1"/>
    </font>
    <font>
      <sz val="11"/>
      <color rgb="FFFF0000"/>
      <name val="Calibri"/>
      <family val="2"/>
      <charset val="1"/>
    </font>
    <font>
      <b/>
      <sz val="24"/>
      <color theme="1"/>
      <name val="Calibri"/>
      <family val="2"/>
      <charset val="1"/>
    </font>
    <font>
      <b/>
      <sz val="18"/>
      <color theme="1"/>
      <name val="Calibri"/>
      <family val="2"/>
      <charset val="1"/>
    </font>
    <font>
      <sz val="10"/>
      <color theme="1"/>
      <name val="Arial Unicode MS"/>
      <charset val="1"/>
    </font>
    <font>
      <b/>
      <sz val="14"/>
      <color rgb="FFD0CDC6"/>
      <name val="Calibri"/>
      <charset val="1"/>
    </font>
    <font>
      <b/>
      <i/>
      <sz val="9"/>
      <color rgb="FF1A1A18"/>
      <name val="Calibri"/>
      <charset val="1"/>
    </font>
    <font>
      <b/>
      <sz val="10"/>
      <color rgb="FFD0CDC6"/>
      <name val="Calibri"/>
      <charset val="1"/>
    </font>
    <font>
      <b/>
      <sz val="13"/>
      <color rgb="FFD0CDC6"/>
      <name val="Calibri"/>
      <charset val="1"/>
    </font>
    <font>
      <i/>
      <sz val="9"/>
      <color rgb="FF1A1A18"/>
      <name val="Calibri"/>
      <charset val="1"/>
    </font>
    <font>
      <b/>
      <i/>
      <sz val="9"/>
      <color rgb="FFC2BFB8"/>
      <name val="Calibri"/>
      <charset val="1"/>
    </font>
    <font>
      <i/>
      <sz val="8"/>
      <color rgb="FF777777"/>
      <name val="Calibri"/>
      <charset val="1"/>
    </font>
    <font>
      <sz val="9"/>
      <color rgb="FF333333"/>
      <name val="Calibri"/>
      <charset val="1"/>
    </font>
    <font>
      <b/>
      <sz val="11"/>
      <color rgb="FF1A1A18"/>
      <name val="Calibri"/>
      <charset val="1"/>
    </font>
    <font>
      <b/>
      <sz val="9"/>
      <color rgb="FF9B1C1C"/>
      <name val="Calibri"/>
      <charset val="1"/>
    </font>
    <font>
      <b/>
      <sz val="9"/>
      <color rgb="FF1A5C1A"/>
      <name val="Calibri"/>
      <charset val="1"/>
    </font>
  </fonts>
  <fills count="22">
    <fill>
      <patternFill patternType="none"/>
    </fill>
    <fill>
      <patternFill patternType="gray125"/>
    </fill>
    <fill>
      <patternFill patternType="solid">
        <fgColor rgb="FFC2BFB8"/>
        <bgColor rgb="FFCAC7C0"/>
      </patternFill>
    </fill>
    <fill>
      <patternFill patternType="solid">
        <fgColor rgb="FF1A1A18"/>
        <bgColor rgb="FF003300"/>
      </patternFill>
    </fill>
    <fill>
      <patternFill patternType="solid">
        <fgColor rgb="FFD0CDC6"/>
        <bgColor rgb="FFCAC7C0"/>
      </patternFill>
    </fill>
    <fill>
      <patternFill patternType="solid">
        <fgColor rgb="FFFFFFFF"/>
        <bgColor rgb="FFFFF8EE"/>
      </patternFill>
    </fill>
    <fill>
      <patternFill patternType="solid">
        <fgColor rgb="FFFFF2CC"/>
        <bgColor rgb="FFFFE5CC"/>
      </patternFill>
    </fill>
    <fill>
      <patternFill patternType="solid">
        <fgColor rgb="FFDDEEFF"/>
        <bgColor rgb="FFD6F0ED"/>
      </patternFill>
    </fill>
    <fill>
      <patternFill patternType="solid">
        <fgColor rgb="FFEDE5F5"/>
        <bgColor rgb="FFECEAE6"/>
      </patternFill>
    </fill>
    <fill>
      <patternFill patternType="solid">
        <fgColor rgb="FFFFE5CC"/>
        <bgColor rgb="FFFFF2CC"/>
      </patternFill>
    </fill>
    <fill>
      <patternFill patternType="solid">
        <fgColor rgb="FFD6EDD6"/>
        <bgColor rgb="FFD6F0ED"/>
      </patternFill>
    </fill>
    <fill>
      <patternFill patternType="solid">
        <fgColor rgb="FFCAC7C0"/>
        <bgColor rgb="FFD0CDC6"/>
      </patternFill>
    </fill>
    <fill>
      <patternFill patternType="solid">
        <fgColor rgb="FFF0EDE8"/>
        <bgColor rgb="FFECEAE6"/>
      </patternFill>
    </fill>
    <fill>
      <patternFill patternType="solid">
        <fgColor rgb="FFFFF8EE"/>
        <bgColor rgb="FFF5F4F2"/>
      </patternFill>
    </fill>
    <fill>
      <patternFill patternType="solid">
        <fgColor rgb="FFF8F4FF"/>
        <bgColor rgb="FFF5F4F2"/>
      </patternFill>
    </fill>
    <fill>
      <patternFill patternType="solid">
        <fgColor rgb="FFD8D5CE"/>
        <bgColor rgb="FFD0CDC6"/>
      </patternFill>
    </fill>
    <fill>
      <patternFill patternType="solid">
        <fgColor rgb="FFF5F4F2"/>
        <bgColor rgb="FFF8F4FF"/>
      </patternFill>
    </fill>
    <fill>
      <patternFill patternType="solid">
        <fgColor rgb="FFECEAE6"/>
        <bgColor rgb="FFF0EDE8"/>
      </patternFill>
    </fill>
    <fill>
      <patternFill patternType="solid">
        <fgColor rgb="FFD6F0ED"/>
        <bgColor rgb="FFDDEEFF"/>
      </patternFill>
    </fill>
    <fill>
      <patternFill patternType="solid">
        <fgColor rgb="FFFFD6D6"/>
        <bgColor rgb="FFFFE5CC"/>
      </patternFill>
    </fill>
    <fill>
      <patternFill patternType="solid">
        <fgColor rgb="FF1A1A18"/>
        <bgColor rgb="FF2C2C2A"/>
      </patternFill>
    </fill>
    <fill>
      <patternFill patternType="solid">
        <fgColor rgb="FF2C2C2A"/>
        <bgColor rgb="FF333333"/>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7">
    <xf numFmtId="0" fontId="0" fillId="0" borderId="0" xfId="0"/>
    <xf numFmtId="0" fontId="4" fillId="4" borderId="0" xfId="0" applyFont="1" applyFill="1" applyAlignment="1">
      <alignment vertical="top" wrapText="1"/>
    </xf>
    <xf numFmtId="0" fontId="1" fillId="2" borderId="0" xfId="0" applyFont="1" applyFill="1" applyAlignment="1">
      <alignment vertical="top" wrapText="1"/>
    </xf>
    <xf numFmtId="0" fontId="2" fillId="3" borderId="0" xfId="0" applyFont="1" applyFill="1" applyAlignment="1">
      <alignment vertical="top" wrapText="1"/>
    </xf>
    <xf numFmtId="0" fontId="3" fillId="0" borderId="0" xfId="0" applyFont="1" applyAlignment="1">
      <alignment vertical="top" wrapText="1"/>
    </xf>
    <xf numFmtId="0" fontId="0" fillId="0" borderId="0" xfId="0" applyAlignment="1">
      <alignment vertical="top" wrapText="1"/>
    </xf>
    <xf numFmtId="0" fontId="4" fillId="5" borderId="0" xfId="0" applyFont="1" applyFill="1" applyAlignment="1">
      <alignment vertical="top" wrapText="1"/>
    </xf>
    <xf numFmtId="0" fontId="5" fillId="0" borderId="0" xfId="0" applyFont="1" applyAlignment="1">
      <alignment vertical="top" wrapText="1"/>
    </xf>
    <xf numFmtId="0" fontId="6" fillId="6" borderId="0" xfId="0" applyFont="1" applyFill="1" applyAlignment="1">
      <alignment vertical="top" wrapText="1"/>
    </xf>
    <xf numFmtId="0" fontId="6" fillId="7" borderId="0" xfId="0" applyFont="1" applyFill="1" applyAlignment="1">
      <alignment vertical="top" wrapText="1"/>
    </xf>
    <xf numFmtId="0" fontId="6" fillId="8" borderId="0" xfId="0" applyFont="1" applyFill="1" applyAlignment="1">
      <alignment vertical="top" wrapText="1"/>
    </xf>
    <xf numFmtId="0" fontId="6" fillId="5" borderId="0" xfId="0" applyFont="1" applyFill="1" applyAlignment="1">
      <alignment vertical="top" wrapText="1"/>
    </xf>
    <xf numFmtId="0" fontId="1" fillId="2" borderId="0" xfId="0" applyFont="1" applyFill="1"/>
    <xf numFmtId="0" fontId="5" fillId="8" borderId="0" xfId="0" applyFont="1" applyFill="1" applyAlignment="1">
      <alignment vertical="top" wrapText="1"/>
    </xf>
    <xf numFmtId="0" fontId="5" fillId="0" borderId="0" xfId="0" applyFont="1" applyAlignment="1">
      <alignment vertical="center" wrapText="1"/>
    </xf>
    <xf numFmtId="0" fontId="0" fillId="0" borderId="0" xfId="0" applyAlignment="1">
      <alignment vertical="top"/>
    </xf>
    <xf numFmtId="0" fontId="1" fillId="9" borderId="0" xfId="0" applyFont="1" applyFill="1" applyAlignment="1">
      <alignment vertical="center" wrapText="1"/>
    </xf>
    <xf numFmtId="0" fontId="1" fillId="8" borderId="0" xfId="0" applyFont="1" applyFill="1" applyAlignment="1">
      <alignment vertical="center" wrapText="1"/>
    </xf>
    <xf numFmtId="0" fontId="1" fillId="7" borderId="0" xfId="0" applyFont="1" applyFill="1" applyAlignment="1">
      <alignment vertical="center" wrapText="1"/>
    </xf>
    <xf numFmtId="0" fontId="1" fillId="6" borderId="0" xfId="0" applyFont="1" applyFill="1" applyAlignment="1">
      <alignment vertical="center" wrapText="1"/>
    </xf>
    <xf numFmtId="0" fontId="1" fillId="10" borderId="0" xfId="0" applyFont="1" applyFill="1" applyAlignment="1">
      <alignment vertical="center" wrapText="1"/>
    </xf>
    <xf numFmtId="0" fontId="2" fillId="3" borderId="0" xfId="0" applyFont="1" applyFill="1" applyAlignment="1">
      <alignment horizontal="center" vertical="center" wrapText="1"/>
    </xf>
    <xf numFmtId="0" fontId="4" fillId="11" borderId="0" xfId="0" applyFont="1" applyFill="1" applyAlignment="1">
      <alignment vertical="top" wrapText="1"/>
    </xf>
    <xf numFmtId="0" fontId="1" fillId="11" borderId="0" xfId="0" applyFont="1" applyFill="1" applyAlignment="1">
      <alignment horizontal="center" vertical="center" wrapText="1"/>
    </xf>
    <xf numFmtId="0" fontId="0" fillId="11" borderId="0" xfId="0" applyFill="1"/>
    <xf numFmtId="0" fontId="0" fillId="5" borderId="0" xfId="0" applyFill="1"/>
    <xf numFmtId="0" fontId="0" fillId="12" borderId="0" xfId="0" applyFill="1"/>
    <xf numFmtId="0" fontId="0" fillId="13" borderId="0" xfId="0" applyFill="1"/>
    <xf numFmtId="0" fontId="0" fillId="14" borderId="0" xfId="0" applyFill="1"/>
    <xf numFmtId="0" fontId="4" fillId="15" borderId="0" xfId="0" applyFont="1" applyFill="1" applyAlignment="1">
      <alignment vertical="top" wrapText="1"/>
    </xf>
    <xf numFmtId="0" fontId="1" fillId="15" borderId="0" xfId="0" applyFont="1" applyFill="1" applyAlignment="1">
      <alignment horizontal="center" vertical="center" wrapText="1"/>
    </xf>
    <xf numFmtId="0" fontId="0" fillId="15" borderId="0" xfId="0" applyFill="1"/>
    <xf numFmtId="0" fontId="0" fillId="7" borderId="0" xfId="0" applyFill="1"/>
    <xf numFmtId="0" fontId="2" fillId="3" borderId="0" xfId="0" applyFont="1" applyFill="1"/>
    <xf numFmtId="0" fontId="4" fillId="2" borderId="0" xfId="0" applyFont="1" applyFill="1"/>
    <xf numFmtId="0" fontId="1" fillId="9" borderId="0" xfId="0" applyFont="1" applyFill="1"/>
    <xf numFmtId="0" fontId="4" fillId="9" borderId="0" xfId="0" applyFont="1" applyFill="1"/>
    <xf numFmtId="0" fontId="1" fillId="6" borderId="0" xfId="0" applyFont="1" applyFill="1"/>
    <xf numFmtId="0" fontId="4" fillId="6" borderId="0" xfId="0" applyFont="1" applyFill="1"/>
    <xf numFmtId="0" fontId="1" fillId="7" borderId="0" xfId="0" applyFont="1" applyFill="1"/>
    <xf numFmtId="0" fontId="4" fillId="7" borderId="0" xfId="0" applyFont="1" applyFill="1"/>
    <xf numFmtId="0" fontId="7" fillId="0" borderId="0" xfId="0" applyFont="1"/>
    <xf numFmtId="0" fontId="8" fillId="0" borderId="0" xfId="0" applyFont="1"/>
    <xf numFmtId="0" fontId="9" fillId="0" borderId="0" xfId="0" applyFont="1" applyAlignment="1">
      <alignment vertical="center"/>
    </xf>
    <xf numFmtId="0" fontId="10" fillId="0" borderId="0" xfId="0" applyFont="1" applyAlignment="1">
      <alignment vertical="center"/>
    </xf>
    <xf numFmtId="0" fontId="0" fillId="0" borderId="0" xfId="0" applyAlignment="1">
      <alignment horizontal="left" vertical="center" indent="1"/>
    </xf>
    <xf numFmtId="0" fontId="11" fillId="0" borderId="0" xfId="0" applyFont="1"/>
    <xf numFmtId="0" fontId="0" fillId="6" borderId="0" xfId="0" applyFill="1"/>
    <xf numFmtId="0" fontId="0" fillId="10" borderId="0" xfId="0" applyFill="1"/>
    <xf numFmtId="0" fontId="6" fillId="16" borderId="0" xfId="0" applyFont="1" applyFill="1" applyAlignment="1">
      <alignment vertical="top" wrapText="1"/>
    </xf>
    <xf numFmtId="0" fontId="4" fillId="16" borderId="0" xfId="0" applyFont="1" applyFill="1" applyAlignment="1">
      <alignment vertical="top" wrapText="1"/>
    </xf>
    <xf numFmtId="0" fontId="6" fillId="17" borderId="0" xfId="0" applyFont="1" applyFill="1" applyAlignment="1">
      <alignment vertical="top" wrapText="1"/>
    </xf>
    <xf numFmtId="0" fontId="4" fillId="17" borderId="0" xfId="0" applyFont="1" applyFill="1" applyAlignment="1">
      <alignment vertical="top" wrapText="1"/>
    </xf>
    <xf numFmtId="0" fontId="4" fillId="4" borderId="0" xfId="0" applyFont="1" applyFill="1" applyAlignment="1">
      <alignment vertical="top" wrapText="1"/>
    </xf>
    <xf numFmtId="0" fontId="13" fillId="18" borderId="0" xfId="0" applyFont="1" applyFill="1" applyAlignment="1">
      <alignment vertical="center"/>
    </xf>
    <xf numFmtId="0" fontId="13" fillId="6" borderId="0" xfId="0" applyFont="1" applyFill="1" applyAlignment="1">
      <alignment vertical="center"/>
    </xf>
    <xf numFmtId="0" fontId="13" fillId="9" borderId="0" xfId="0" applyFont="1" applyFill="1" applyAlignment="1">
      <alignment vertical="center"/>
    </xf>
    <xf numFmtId="0" fontId="13" fillId="7" borderId="0" xfId="0" applyFont="1" applyFill="1" applyAlignment="1">
      <alignment vertical="center"/>
    </xf>
    <xf numFmtId="0" fontId="14" fillId="3" borderId="0" xfId="0" applyFont="1" applyFill="1" applyAlignment="1">
      <alignment vertical="center"/>
    </xf>
    <xf numFmtId="0" fontId="13" fillId="10" borderId="0" xfId="0" applyFont="1" applyFill="1" applyAlignment="1">
      <alignment vertical="center"/>
    </xf>
    <xf numFmtId="0" fontId="13" fillId="8" borderId="0" xfId="0" applyFont="1" applyFill="1" applyAlignment="1">
      <alignment vertical="center"/>
    </xf>
    <xf numFmtId="0" fontId="13" fillId="19" borderId="0" xfId="0" applyFont="1" applyFill="1" applyAlignment="1">
      <alignment vertical="center"/>
    </xf>
    <xf numFmtId="0" fontId="12" fillId="3" borderId="0" xfId="0" applyFont="1" applyFill="1" applyAlignment="1">
      <alignment horizontal="left" vertical="center"/>
    </xf>
    <xf numFmtId="0" fontId="5" fillId="2" borderId="0" xfId="0" applyFont="1" applyFill="1" applyAlignment="1">
      <alignment vertical="top" wrapText="1"/>
    </xf>
    <xf numFmtId="0" fontId="5" fillId="7" borderId="0" xfId="0" applyFont="1" applyFill="1" applyAlignment="1">
      <alignment vertical="top" wrapText="1"/>
    </xf>
    <xf numFmtId="0" fontId="15" fillId="20" borderId="0" xfId="0" applyFont="1" applyFill="1" applyAlignment="1">
      <alignment horizontal="left" vertical="center"/>
    </xf>
    <xf numFmtId="0" fontId="16" fillId="2" borderId="0" xfId="0" applyFont="1" applyFill="1" applyAlignment="1">
      <alignment vertical="center" wrapText="1"/>
    </xf>
    <xf numFmtId="0" fontId="2" fillId="20" borderId="1" xfId="0" applyFont="1" applyFill="1" applyBorder="1" applyAlignment="1">
      <alignment horizontal="center" vertical="center" wrapText="1"/>
    </xf>
    <xf numFmtId="0" fontId="17" fillId="21" borderId="0" xfId="0" applyFont="1" applyFill="1" applyAlignment="1">
      <alignment vertical="center"/>
    </xf>
    <xf numFmtId="0" fontId="18" fillId="17" borderId="1" xfId="0" applyFont="1" applyFill="1" applyBorder="1" applyAlignment="1">
      <alignment vertical="top" wrapText="1"/>
    </xf>
    <xf numFmtId="0" fontId="19" fillId="17" borderId="1" xfId="0" applyFont="1" applyFill="1" applyBorder="1" applyAlignment="1">
      <alignment vertical="top" wrapText="1"/>
    </xf>
    <xf numFmtId="0" fontId="20" fillId="17" borderId="1" xfId="0" applyFont="1" applyFill="1" applyBorder="1" applyAlignment="1">
      <alignment horizontal="center" vertical="center" wrapText="1"/>
    </xf>
    <xf numFmtId="0" fontId="21" fillId="19" borderId="1" xfId="0" applyFont="1" applyFill="1" applyBorder="1" applyAlignment="1">
      <alignment horizontal="center" vertical="center" wrapText="1"/>
    </xf>
    <xf numFmtId="0" fontId="18" fillId="16" borderId="1" xfId="0" applyFont="1" applyFill="1" applyBorder="1" applyAlignment="1">
      <alignment vertical="top" wrapText="1"/>
    </xf>
    <xf numFmtId="0" fontId="19" fillId="16" borderId="1" xfId="0" applyFont="1" applyFill="1" applyBorder="1" applyAlignment="1">
      <alignment vertical="top" wrapText="1"/>
    </xf>
    <xf numFmtId="0" fontId="20" fillId="16" borderId="1" xfId="0" applyFont="1" applyFill="1" applyBorder="1" applyAlignment="1">
      <alignment horizontal="center" vertical="center" wrapText="1"/>
    </xf>
    <xf numFmtId="0" fontId="22" fillId="10" borderId="1" xfId="0" applyFont="1" applyFill="1" applyBorder="1" applyAlignment="1">
      <alignment horizontal="center" vertical="center" wrapText="1"/>
    </xf>
  </cellXfs>
  <cellStyles count="1">
    <cellStyle name="Standaard" xfId="0" builtinId="0"/>
  </cellStyles>
  <dxfs count="0"/>
  <tableStyles count="0" defaultTableStyle="TableStyleMedium2" defaultPivotStyle="PivotStyleLight16"/>
  <colors>
    <indexedColors>
      <rgbColor rgb="FF000000"/>
      <rgbColor rgb="FFFFFFFF"/>
      <rgbColor rgb="FFFF0000"/>
      <rgbColor rgb="FF00FF00"/>
      <rgbColor rgb="FF0000FF"/>
      <rgbColor rgb="FFF0EDE8"/>
      <rgbColor rgb="FFFF00FF"/>
      <rgbColor rgb="FF00FFFF"/>
      <rgbColor rgb="FF800000"/>
      <rgbColor rgb="FF008000"/>
      <rgbColor rgb="FF000080"/>
      <rgbColor rgb="FF808000"/>
      <rgbColor rgb="FF800080"/>
      <rgbColor rgb="FF008080"/>
      <rgbColor rgb="FFC2BFB8"/>
      <rgbColor rgb="FF888888"/>
      <rgbColor rgb="FFECEAE6"/>
      <rgbColor rgb="FF993366"/>
      <rgbColor rgb="FFFFF2CC"/>
      <rgbColor rgb="FFD6F0ED"/>
      <rgbColor rgb="FF660066"/>
      <rgbColor rgb="FFFF8080"/>
      <rgbColor rgb="FF0066CC"/>
      <rgbColor rgb="FFD8D5CE"/>
      <rgbColor rgb="FF000080"/>
      <rgbColor rgb="FFFF00FF"/>
      <rgbColor rgb="FFFFF8EE"/>
      <rgbColor rgb="FF00FFFF"/>
      <rgbColor rgb="FF800080"/>
      <rgbColor rgb="FF800000"/>
      <rgbColor rgb="FF008080"/>
      <rgbColor rgb="FF0000FF"/>
      <rgbColor rgb="FF00CCFF"/>
      <rgbColor rgb="FFDDEEFF"/>
      <rgbColor rgb="FFD6EDD6"/>
      <rgbColor rgb="FFFFE5CC"/>
      <rgbColor rgb="FFCAC7C0"/>
      <rgbColor rgb="FFEDE5F5"/>
      <rgbColor rgb="FFD0CDC6"/>
      <rgbColor rgb="FFFFD6D6"/>
      <rgbColor rgb="FF3366FF"/>
      <rgbColor rgb="FF33CCCC"/>
      <rgbColor rgb="FF99CC00"/>
      <rgbColor rgb="FFF5F4F2"/>
      <rgbColor rgb="FFFF9900"/>
      <rgbColor rgb="FFFF6600"/>
      <rgbColor rgb="FF666666"/>
      <rgbColor rgb="FFF8F4FF"/>
      <rgbColor rgb="FF003366"/>
      <rgbColor rgb="FF339966"/>
      <rgbColor rgb="FF003300"/>
      <rgbColor rgb="FF1A1A18"/>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05"/>
  <sheetViews>
    <sheetView topLeftCell="A123" zoomScale="85" zoomScaleNormal="85" workbookViewId="0">
      <selection activeCell="A52" sqref="A52"/>
    </sheetView>
  </sheetViews>
  <sheetFormatPr defaultColWidth="8.6640625" defaultRowHeight="14.4"/>
  <cols>
    <col min="1" max="1" width="28" customWidth="1"/>
    <col min="2" max="2" width="62" customWidth="1"/>
    <col min="3" max="3" width="22" customWidth="1"/>
    <col min="4" max="4" width="12" customWidth="1"/>
    <col min="5" max="5" width="14" customWidth="1"/>
    <col min="6" max="7" width="18" customWidth="1"/>
    <col min="8" max="9" width="12" customWidth="1"/>
    <col min="10" max="10" width="10" customWidth="1"/>
    <col min="11" max="11" width="20" customWidth="1"/>
    <col min="12" max="15" width="18" customWidth="1"/>
    <col min="16" max="16" width="50" customWidth="1"/>
    <col min="17" max="22" width="16" customWidth="1"/>
  </cols>
  <sheetData>
    <row r="1" spans="1:9" ht="18" customHeight="1">
      <c r="A1" s="2" t="s">
        <v>0</v>
      </c>
      <c r="B1" s="3" t="s">
        <v>1</v>
      </c>
      <c r="C1" s="4"/>
      <c r="D1" s="4"/>
      <c r="E1" s="4"/>
      <c r="F1" s="4"/>
      <c r="G1" s="4"/>
      <c r="H1" s="4"/>
      <c r="I1" s="4"/>
    </row>
    <row r="2" spans="1:9" ht="18" customHeight="1">
      <c r="A2" s="2" t="s">
        <v>2</v>
      </c>
      <c r="B2" s="1"/>
      <c r="C2" s="5"/>
      <c r="D2" s="5"/>
      <c r="E2" s="5"/>
      <c r="F2" s="5"/>
      <c r="G2" s="5"/>
      <c r="H2" s="5"/>
      <c r="I2" s="5"/>
    </row>
    <row r="3" spans="1:9" ht="18" customHeight="1">
      <c r="A3" s="2" t="s">
        <v>3</v>
      </c>
      <c r="B3" s="1"/>
      <c r="C3" s="5"/>
      <c r="D3" s="5"/>
      <c r="E3" s="5"/>
      <c r="F3" s="5"/>
      <c r="G3" s="5"/>
      <c r="H3" s="5"/>
      <c r="I3" s="5"/>
    </row>
    <row r="4" spans="1:9" ht="18" customHeight="1">
      <c r="A4" s="2" t="s">
        <v>4</v>
      </c>
      <c r="B4" s="1"/>
      <c r="C4" s="5"/>
      <c r="D4" s="5"/>
      <c r="E4" s="5"/>
      <c r="F4" s="5"/>
      <c r="G4" s="5"/>
      <c r="H4" s="5"/>
      <c r="I4" s="5"/>
    </row>
    <row r="5" spans="1:9" ht="18" customHeight="1">
      <c r="A5" s="2" t="s">
        <v>5</v>
      </c>
      <c r="B5" s="1"/>
      <c r="C5" s="5"/>
      <c r="D5" s="5"/>
      <c r="E5" s="5"/>
      <c r="F5" s="5"/>
      <c r="G5" s="5"/>
      <c r="H5" s="5"/>
      <c r="I5" s="5"/>
    </row>
    <row r="6" spans="1:9" ht="18" customHeight="1">
      <c r="A6" s="2" t="s">
        <v>6</v>
      </c>
      <c r="B6" s="1"/>
      <c r="C6" s="5"/>
      <c r="D6" s="5"/>
      <c r="E6" s="5"/>
      <c r="F6" s="5"/>
      <c r="G6" s="5"/>
      <c r="H6" s="5"/>
      <c r="I6" s="5"/>
    </row>
    <row r="7" spans="1:9" ht="18" customHeight="1">
      <c r="A7" s="2" t="s">
        <v>7</v>
      </c>
      <c r="B7" s="6"/>
      <c r="C7" s="7" t="s">
        <v>8</v>
      </c>
    </row>
    <row r="8" spans="1:9" ht="18" customHeight="1">
      <c r="A8" s="2" t="s">
        <v>9</v>
      </c>
      <c r="B8" s="8" t="str">
        <f>IF(B7="","",DATE(YEAR(B7)+INT(B33/12),MONTH(B7)+MOD(B33,12),DAY(B7)))</f>
        <v/>
      </c>
      <c r="C8" s="7" t="s">
        <v>10</v>
      </c>
    </row>
    <row r="9" spans="1:9" ht="18" customHeight="1">
      <c r="A9" s="2" t="s">
        <v>11</v>
      </c>
      <c r="B9" s="6"/>
      <c r="C9" s="7" t="s">
        <v>12</v>
      </c>
    </row>
    <row r="10" spans="1:9" ht="18" customHeight="1">
      <c r="A10" s="2" t="s">
        <v>13</v>
      </c>
      <c r="B10" s="9" t="str">
        <f>IF(B26="","",IF(B26&lt;=2,"Single",IF(B26&lt;=6,"Multi","Complex")))</f>
        <v>Single</v>
      </c>
      <c r="C10" s="7" t="s">
        <v>14</v>
      </c>
    </row>
    <row r="11" spans="1:9" ht="18" customHeight="1">
      <c r="A11" s="2" t="s">
        <v>15</v>
      </c>
      <c r="B11" s="10" t="str">
        <f>B27</f>
        <v>[BACKEND] Context flags worden automatisch berekend door de backend via de Context_Flag_Rules tabel. In productie: JOIN(matched_flags, " | ") op basis van product_ingredients + drempelwaarden. Zie sheet Context_Flag_Rules voor alle 59 regels. Handmatige override mogelijk via B11 (INPUT).</v>
      </c>
      <c r="C11" s="7" t="s">
        <v>16</v>
      </c>
    </row>
    <row r="12" spans="1:9" ht="18" customHeight="1">
      <c r="A12" s="2" t="s">
        <v>17</v>
      </c>
      <c r="B12" s="6"/>
      <c r="C12" s="7" t="s">
        <v>18</v>
      </c>
    </row>
    <row r="13" spans="1:9" ht="14.25" customHeight="1">
      <c r="A13" s="5"/>
      <c r="B13" s="5"/>
      <c r="C13" s="5"/>
      <c r="D13" s="5"/>
      <c r="E13" s="5"/>
      <c r="F13" s="5"/>
      <c r="G13" s="5"/>
      <c r="H13" s="5"/>
      <c r="I13" s="5"/>
    </row>
    <row r="14" spans="1:9" ht="14.25" customHeight="1">
      <c r="A14" s="3" t="s">
        <v>19</v>
      </c>
      <c r="B14" s="3" t="s">
        <v>20</v>
      </c>
      <c r="C14" s="5"/>
      <c r="D14" s="5"/>
      <c r="E14" s="5"/>
      <c r="F14" s="5"/>
      <c r="G14" s="5"/>
      <c r="H14" s="5"/>
      <c r="I14" s="5"/>
    </row>
    <row r="15" spans="1:9" ht="15.75" customHeight="1">
      <c r="A15" s="2" t="s">
        <v>21</v>
      </c>
      <c r="B15" s="11">
        <f>IF(COUNTIF($B$2,"*OMEGA3*")&gt;0,1,0)</f>
        <v>0</v>
      </c>
      <c r="C15" s="5"/>
      <c r="D15" s="5"/>
      <c r="E15" s="5"/>
      <c r="F15" s="5"/>
      <c r="G15" s="5"/>
      <c r="H15" s="5"/>
      <c r="I15" s="5"/>
    </row>
    <row r="16" spans="1:9" ht="15.75" customHeight="1">
      <c r="A16" s="2" t="s">
        <v>22</v>
      </c>
      <c r="B16" s="11">
        <f>IF(COUNTIF($B$2,"*PROBIOTIC*")&gt;0,1,0)</f>
        <v>0</v>
      </c>
      <c r="C16" s="5"/>
      <c r="D16" s="5"/>
      <c r="E16" s="5"/>
      <c r="F16" s="5"/>
      <c r="G16" s="5"/>
      <c r="H16" s="5"/>
      <c r="I16" s="5"/>
    </row>
    <row r="17" spans="1:9" ht="15.75" customHeight="1">
      <c r="A17" s="2" t="s">
        <v>23</v>
      </c>
      <c r="B17" s="11">
        <f>IF(ISNUMBER(LOOKUP("BOTANICAL",$B$2)),1,0)</f>
        <v>0</v>
      </c>
      <c r="C17" s="5"/>
      <c r="D17" s="5"/>
      <c r="E17" s="5"/>
      <c r="F17" s="5"/>
      <c r="G17" s="5"/>
      <c r="H17" s="5"/>
      <c r="I17" s="5"/>
    </row>
    <row r="18" spans="1:9" ht="15.75" customHeight="1">
      <c r="A18" s="2" t="s">
        <v>24</v>
      </c>
      <c r="B18" s="11">
        <f>IF(COUNTIF($B$2,"*VITAMIN*")&gt;0,1,0)</f>
        <v>0</v>
      </c>
      <c r="C18" s="5"/>
      <c r="D18" s="5"/>
      <c r="E18" s="5"/>
      <c r="F18" s="5"/>
      <c r="G18" s="5"/>
      <c r="H18" s="5"/>
      <c r="I18" s="5"/>
    </row>
    <row r="19" spans="1:9" ht="15.75" customHeight="1">
      <c r="A19" s="2" t="s">
        <v>25</v>
      </c>
      <c r="B19" s="11">
        <f>IF(COUNTIF($B$2,"*MINERAL*")&gt;0,1,0)</f>
        <v>0</v>
      </c>
      <c r="C19" s="5"/>
      <c r="D19" s="5"/>
      <c r="E19" s="5"/>
      <c r="F19" s="5"/>
      <c r="G19" s="5"/>
      <c r="H19" s="5"/>
      <c r="I19" s="5"/>
    </row>
    <row r="20" spans="1:9" ht="15.75" customHeight="1">
      <c r="A20" s="2" t="s">
        <v>26</v>
      </c>
      <c r="B20" s="11">
        <f>IF(COUNTIF($B$2,"*AMINO*")&gt;0,1,0)</f>
        <v>0</v>
      </c>
      <c r="C20" s="5"/>
      <c r="D20" s="5"/>
      <c r="E20" s="5"/>
      <c r="F20" s="5"/>
      <c r="G20" s="5"/>
      <c r="H20" s="5"/>
      <c r="I20" s="5"/>
    </row>
    <row r="21" spans="1:9" ht="15.75" customHeight="1">
      <c r="A21" s="2" t="s">
        <v>27</v>
      </c>
      <c r="B21" s="11">
        <f>IF(COUNTIF($B$2,"*PROTEIN*")&gt;0,1,0)</f>
        <v>0</v>
      </c>
      <c r="C21" s="5"/>
      <c r="D21" s="5"/>
      <c r="E21" s="5"/>
      <c r="F21" s="5"/>
      <c r="G21" s="5"/>
      <c r="H21" s="5"/>
      <c r="I21" s="5"/>
    </row>
    <row r="22" spans="1:9" ht="15.75" customHeight="1">
      <c r="A22" s="2" t="s">
        <v>28</v>
      </c>
      <c r="B22" s="11">
        <f>IF(COUNTIF($B$2,"*POLYPHENOL*")&gt;0,1,0)</f>
        <v>0</v>
      </c>
      <c r="C22" s="5"/>
      <c r="D22" s="5"/>
      <c r="E22" s="5"/>
      <c r="F22" s="5"/>
      <c r="G22" s="5"/>
      <c r="H22" s="5"/>
      <c r="I22" s="5"/>
    </row>
    <row r="23" spans="1:9" ht="15.75" customHeight="1">
      <c r="A23" s="2" t="s">
        <v>29</v>
      </c>
      <c r="B23" s="11">
        <f>IF(COUNTIF($B$2,"*ENZYME*")&gt;0,1,0)</f>
        <v>0</v>
      </c>
      <c r="C23" s="5"/>
      <c r="D23" s="5"/>
      <c r="E23" s="5"/>
      <c r="F23" s="5"/>
      <c r="G23" s="5"/>
      <c r="H23" s="5"/>
      <c r="I23" s="5"/>
    </row>
    <row r="24" spans="1:9" ht="15.75" customHeight="1">
      <c r="A24" s="2" t="s">
        <v>30</v>
      </c>
      <c r="B24" s="11">
        <f>IF(COUNTIF($B$2,"*LIPID*")&gt;0,1,0)</f>
        <v>0</v>
      </c>
      <c r="C24" s="5"/>
      <c r="D24" s="5"/>
      <c r="E24" s="5"/>
      <c r="F24" s="5"/>
      <c r="G24" s="5"/>
      <c r="H24" s="5"/>
      <c r="I24" s="5"/>
    </row>
    <row r="25" spans="1:9" ht="15.75" customHeight="1">
      <c r="A25" s="2" t="s">
        <v>31</v>
      </c>
      <c r="B25" s="11">
        <f>IF(COUNTIF($B$2,"*SPORT*")&gt;0,1,0)</f>
        <v>0</v>
      </c>
      <c r="C25" s="5"/>
      <c r="D25" s="5"/>
      <c r="E25" s="5"/>
      <c r="F25" s="5"/>
      <c r="G25" s="5"/>
      <c r="H25" s="5"/>
      <c r="I25" s="5"/>
    </row>
    <row r="26" spans="1:9" ht="15.75" customHeight="1">
      <c r="A26" s="12" t="s">
        <v>32</v>
      </c>
      <c r="B26" s="8">
        <f>COUNTA(ingredient_db)</f>
        <v>1</v>
      </c>
      <c r="C26" s="7" t="s">
        <v>33</v>
      </c>
    </row>
    <row r="27" spans="1:9" ht="39.75" customHeight="1">
      <c r="A27" s="12" t="s">
        <v>34</v>
      </c>
      <c r="B27" s="13" t="str">
        <f>"[BACKEND] Context flags worden automatisch berekend door de backend via de Context_Flag_Rules tabel. "&amp;"In productie: JOIN(matched_flags, "" | "") op basis van product_ingredients + drempelwaarden. "&amp;"Zie sheet Context_Flag_Rules voor alle 59 regels. "&amp;"Handmatige override mogelijk via B11 (INPUT)."</f>
        <v>[BACKEND] Context flags worden automatisch berekend door de backend via de Context_Flag_Rules tabel. In productie: JOIN(matched_flags, " | ") op basis van product_ingredients + drempelwaarden. Zie sheet Context_Flag_Rules voor alle 59 regels. Handmatige override mogelijk via B11 (INPUT).</v>
      </c>
      <c r="C27" s="7" t="s">
        <v>35</v>
      </c>
    </row>
    <row r="28" spans="1:9" ht="14.25" customHeight="1">
      <c r="A28" s="5"/>
      <c r="B28" s="5"/>
      <c r="C28" s="5"/>
      <c r="D28" s="5"/>
      <c r="E28" s="5"/>
      <c r="F28" s="5"/>
      <c r="G28" s="5"/>
      <c r="H28" s="5"/>
      <c r="I28" s="5"/>
    </row>
    <row r="29" spans="1:9" ht="14.25" customHeight="1">
      <c r="A29" s="3" t="s">
        <v>36</v>
      </c>
      <c r="B29" s="3" t="s">
        <v>20</v>
      </c>
      <c r="C29" s="5"/>
      <c r="D29" s="5"/>
      <c r="E29" s="5"/>
      <c r="F29" s="5"/>
      <c r="G29" s="5"/>
      <c r="H29" s="5"/>
      <c r="I29" s="5"/>
    </row>
    <row r="30" spans="1:9" ht="15.75" customHeight="1">
      <c r="A30" s="2" t="s">
        <v>37</v>
      </c>
      <c r="B30" s="6">
        <v>49</v>
      </c>
      <c r="C30" s="5"/>
      <c r="D30" s="5"/>
      <c r="E30" s="5"/>
      <c r="F30" s="5"/>
      <c r="G30" s="5"/>
      <c r="H30" s="5"/>
      <c r="I30" s="5"/>
    </row>
    <row r="31" spans="1:9" ht="15.75" customHeight="1">
      <c r="A31" s="2" t="s">
        <v>38</v>
      </c>
      <c r="B31" s="6">
        <v>37</v>
      </c>
      <c r="C31" s="5"/>
      <c r="D31" s="5"/>
      <c r="E31" s="5"/>
      <c r="F31" s="5"/>
      <c r="G31" s="5"/>
      <c r="H31" s="5"/>
      <c r="I31" s="5"/>
    </row>
    <row r="32" spans="1:9" ht="15.75" customHeight="1">
      <c r="A32" s="2" t="s">
        <v>39</v>
      </c>
      <c r="B32" s="6">
        <v>1000</v>
      </c>
      <c r="C32" s="5"/>
      <c r="D32" s="5"/>
      <c r="E32" s="5"/>
      <c r="F32" s="5"/>
      <c r="G32" s="5"/>
      <c r="H32" s="5"/>
      <c r="I32" s="5"/>
    </row>
    <row r="33" spans="1:22" ht="15.75" customHeight="1">
      <c r="A33" s="2" t="s">
        <v>40</v>
      </c>
      <c r="B33" s="6">
        <v>12</v>
      </c>
      <c r="C33" s="7" t="s">
        <v>41</v>
      </c>
      <c r="D33" s="5"/>
      <c r="E33" s="5"/>
      <c r="F33" s="5"/>
      <c r="G33" s="5"/>
      <c r="H33" s="5"/>
      <c r="I33" s="5"/>
      <c r="Q33" s="14" t="s">
        <v>42</v>
      </c>
      <c r="R33" s="14" t="s">
        <v>43</v>
      </c>
      <c r="S33" s="14" t="s">
        <v>44</v>
      </c>
      <c r="T33" s="14" t="s">
        <v>45</v>
      </c>
      <c r="U33" s="14" t="s">
        <v>46</v>
      </c>
      <c r="V33" s="14" t="s">
        <v>47</v>
      </c>
    </row>
    <row r="34" spans="1:22" ht="15.75" customHeight="1">
      <c r="A34" s="2" t="s">
        <v>48</v>
      </c>
      <c r="B34" s="6">
        <v>0.6</v>
      </c>
      <c r="C34" s="7" t="s">
        <v>41</v>
      </c>
      <c r="D34" s="5"/>
      <c r="E34" s="5"/>
      <c r="F34" s="5"/>
      <c r="G34" s="5"/>
      <c r="H34" s="5"/>
      <c r="I34" s="5"/>
      <c r="J34" s="15"/>
      <c r="K34" s="15"/>
      <c r="L34" s="5"/>
      <c r="M34" s="5"/>
      <c r="N34" s="5"/>
      <c r="O34" s="5"/>
      <c r="P34" s="5"/>
      <c r="Q34" s="16"/>
      <c r="R34" s="17"/>
      <c r="S34" s="18"/>
      <c r="T34" s="19"/>
      <c r="U34" s="19"/>
      <c r="V34" s="20"/>
    </row>
    <row r="35" spans="1:22" ht="14.25" customHeight="1"/>
    <row r="36" spans="1:22" ht="27.75" customHeight="1">
      <c r="A36" s="21" t="s">
        <v>49</v>
      </c>
      <c r="B36" s="21" t="s">
        <v>50</v>
      </c>
      <c r="C36" s="21" t="s">
        <v>51</v>
      </c>
      <c r="D36" s="21" t="s">
        <v>52</v>
      </c>
      <c r="E36" s="21" t="s">
        <v>53</v>
      </c>
      <c r="F36" s="21" t="s">
        <v>54</v>
      </c>
      <c r="G36" s="21" t="s">
        <v>55</v>
      </c>
      <c r="H36" s="21" t="s">
        <v>56</v>
      </c>
      <c r="I36" s="21" t="s">
        <v>57</v>
      </c>
      <c r="J36" s="21" t="s">
        <v>58</v>
      </c>
      <c r="K36" s="21" t="s">
        <v>59</v>
      </c>
      <c r="L36" s="21" t="s">
        <v>60</v>
      </c>
      <c r="M36" s="21" t="s">
        <v>61</v>
      </c>
      <c r="N36" s="21" t="s">
        <v>62</v>
      </c>
      <c r="O36" s="21" t="s">
        <v>63</v>
      </c>
      <c r="P36" s="21" t="s">
        <v>64</v>
      </c>
      <c r="Q36" s="21" t="s">
        <v>65</v>
      </c>
      <c r="R36" s="21" t="s">
        <v>15</v>
      </c>
      <c r="S36" s="21" t="s">
        <v>13</v>
      </c>
      <c r="T36" s="21" t="s">
        <v>9</v>
      </c>
      <c r="U36" s="21" t="s">
        <v>11</v>
      </c>
      <c r="V36" s="21" t="s">
        <v>66</v>
      </c>
    </row>
    <row r="37" spans="1:22" ht="27.75" customHeight="1">
      <c r="A37" s="22" t="s">
        <v>67</v>
      </c>
      <c r="B37" s="22" t="s">
        <v>68</v>
      </c>
      <c r="C37" s="23">
        <v>8</v>
      </c>
      <c r="D37" s="23" t="s">
        <v>69</v>
      </c>
      <c r="E37" s="24" t="s">
        <v>70</v>
      </c>
      <c r="F37" s="24" t="s">
        <v>71</v>
      </c>
      <c r="H37" s="25"/>
      <c r="I37" s="26">
        <f t="shared" ref="I37:I52" si="0">IF($E37="ALL",1,IF(ISNUMBER(LOOKUP($E37,$B$2)),1,0))</f>
        <v>1</v>
      </c>
      <c r="J37" s="26">
        <f t="shared" ref="J37:J52" si="1">IF(ISBLANK($H37),0,$C37*$H37*$I37)</f>
        <v>0</v>
      </c>
      <c r="L37" s="26" t="str">
        <f t="shared" ref="L37:L52" si="2">IF(AND($D37="Y",$H37=0,$I37=1),"CRITICAL FAIL",IF($H37=-1,"EVIDENCE MISSING",""))</f>
        <v>CRITICAL FAIL</v>
      </c>
      <c r="M37" s="24" t="s">
        <v>72</v>
      </c>
      <c r="N37" s="24" t="s">
        <v>73</v>
      </c>
      <c r="O37" s="24" t="s">
        <v>74</v>
      </c>
      <c r="P37" s="24" t="s">
        <v>75</v>
      </c>
      <c r="Q37" s="27"/>
      <c r="R37" s="28"/>
    </row>
    <row r="38" spans="1:22" ht="27.75" customHeight="1">
      <c r="A38" s="29" t="s">
        <v>67</v>
      </c>
      <c r="B38" s="29" t="s">
        <v>76</v>
      </c>
      <c r="C38" s="30">
        <v>8</v>
      </c>
      <c r="D38" s="30" t="s">
        <v>69</v>
      </c>
      <c r="E38" s="31" t="s">
        <v>70</v>
      </c>
      <c r="F38" s="31" t="s">
        <v>71</v>
      </c>
      <c r="H38" s="25"/>
      <c r="I38" s="26">
        <f t="shared" si="0"/>
        <v>1</v>
      </c>
      <c r="J38" s="26">
        <f t="shared" si="1"/>
        <v>0</v>
      </c>
      <c r="K38" s="31" t="s">
        <v>77</v>
      </c>
      <c r="L38" s="26" t="str">
        <f t="shared" si="2"/>
        <v>CRITICAL FAIL</v>
      </c>
      <c r="M38" s="31" t="s">
        <v>78</v>
      </c>
      <c r="N38" s="31" t="s">
        <v>73</v>
      </c>
      <c r="O38" s="31" t="s">
        <v>74</v>
      </c>
      <c r="P38" s="31" t="s">
        <v>79</v>
      </c>
      <c r="Q38" s="27"/>
      <c r="R38" s="28"/>
    </row>
    <row r="39" spans="1:22" ht="27.75" customHeight="1">
      <c r="A39" s="22" t="s">
        <v>67</v>
      </c>
      <c r="B39" s="22" t="s">
        <v>80</v>
      </c>
      <c r="C39" s="23">
        <v>5</v>
      </c>
      <c r="D39" s="23" t="s">
        <v>69</v>
      </c>
      <c r="E39" s="24" t="s">
        <v>70</v>
      </c>
      <c r="F39" s="24" t="s">
        <v>71</v>
      </c>
      <c r="H39" s="25"/>
      <c r="I39" s="26">
        <f t="shared" si="0"/>
        <v>1</v>
      </c>
      <c r="J39" s="26">
        <f t="shared" si="1"/>
        <v>0</v>
      </c>
      <c r="L39" s="26" t="str">
        <f t="shared" si="2"/>
        <v>CRITICAL FAIL</v>
      </c>
      <c r="M39" s="24" t="s">
        <v>78</v>
      </c>
      <c r="N39" s="24" t="s">
        <v>73</v>
      </c>
      <c r="O39" s="24" t="s">
        <v>74</v>
      </c>
      <c r="P39" s="24" t="s">
        <v>81</v>
      </c>
      <c r="Q39" s="27"/>
      <c r="R39" s="28"/>
    </row>
    <row r="40" spans="1:22" ht="27.75" customHeight="1">
      <c r="A40" s="29" t="s">
        <v>67</v>
      </c>
      <c r="B40" s="29" t="s">
        <v>82</v>
      </c>
      <c r="C40" s="30">
        <v>5</v>
      </c>
      <c r="D40" s="30" t="s">
        <v>69</v>
      </c>
      <c r="E40" s="31" t="s">
        <v>70</v>
      </c>
      <c r="F40" s="31" t="s">
        <v>71</v>
      </c>
      <c r="H40" s="25"/>
      <c r="I40" s="26">
        <f t="shared" si="0"/>
        <v>1</v>
      </c>
      <c r="J40" s="26">
        <f t="shared" si="1"/>
        <v>0</v>
      </c>
      <c r="L40" s="26" t="str">
        <f t="shared" si="2"/>
        <v>CRITICAL FAIL</v>
      </c>
      <c r="M40" s="31" t="s">
        <v>78</v>
      </c>
      <c r="N40" s="31" t="s">
        <v>73</v>
      </c>
      <c r="O40" s="31" t="s">
        <v>74</v>
      </c>
      <c r="P40" s="31" t="s">
        <v>83</v>
      </c>
      <c r="Q40" s="27"/>
      <c r="R40" s="28"/>
    </row>
    <row r="41" spans="1:22" ht="27.75" customHeight="1">
      <c r="A41" s="22" t="s">
        <v>67</v>
      </c>
      <c r="B41" s="22" t="s">
        <v>84</v>
      </c>
      <c r="C41" s="23">
        <v>3</v>
      </c>
      <c r="D41" s="23" t="s">
        <v>69</v>
      </c>
      <c r="E41" s="24" t="s">
        <v>70</v>
      </c>
      <c r="F41" s="24" t="s">
        <v>71</v>
      </c>
      <c r="H41" s="25"/>
      <c r="I41" s="26">
        <f t="shared" si="0"/>
        <v>1</v>
      </c>
      <c r="J41" s="26">
        <f t="shared" si="1"/>
        <v>0</v>
      </c>
      <c r="L41" s="26" t="str">
        <f t="shared" si="2"/>
        <v>CRITICAL FAIL</v>
      </c>
      <c r="M41" s="24" t="s">
        <v>72</v>
      </c>
      <c r="N41" s="24" t="s">
        <v>73</v>
      </c>
      <c r="O41" s="24" t="s">
        <v>74</v>
      </c>
      <c r="P41" s="24" t="s">
        <v>85</v>
      </c>
      <c r="Q41" s="27"/>
      <c r="R41" s="28"/>
    </row>
    <row r="42" spans="1:22" ht="27.75" customHeight="1">
      <c r="A42" s="29" t="s">
        <v>67</v>
      </c>
      <c r="B42" s="29" t="s">
        <v>86</v>
      </c>
      <c r="C42" s="30">
        <v>4</v>
      </c>
      <c r="D42" s="30" t="s">
        <v>69</v>
      </c>
      <c r="E42" s="31" t="s">
        <v>70</v>
      </c>
      <c r="F42" s="31" t="s">
        <v>71</v>
      </c>
      <c r="G42" s="31" t="s">
        <v>87</v>
      </c>
      <c r="H42" s="25"/>
      <c r="I42" s="26">
        <f t="shared" si="0"/>
        <v>1</v>
      </c>
      <c r="J42" s="26">
        <f t="shared" si="1"/>
        <v>0</v>
      </c>
      <c r="L42" s="26" t="str">
        <f t="shared" si="2"/>
        <v>CRITICAL FAIL</v>
      </c>
      <c r="M42" s="31" t="s">
        <v>88</v>
      </c>
      <c r="N42" s="31" t="s">
        <v>73</v>
      </c>
      <c r="O42" s="31" t="s">
        <v>89</v>
      </c>
      <c r="P42" s="31" t="s">
        <v>90</v>
      </c>
      <c r="Q42" s="27"/>
      <c r="R42" s="28"/>
    </row>
    <row r="43" spans="1:22" ht="27.75" customHeight="1">
      <c r="A43" s="22" t="s">
        <v>67</v>
      </c>
      <c r="B43" s="22" t="s">
        <v>91</v>
      </c>
      <c r="C43" s="23">
        <v>3</v>
      </c>
      <c r="D43" s="23" t="s">
        <v>92</v>
      </c>
      <c r="E43" s="24" t="s">
        <v>70</v>
      </c>
      <c r="F43" s="24" t="s">
        <v>71</v>
      </c>
      <c r="G43" s="24" t="s">
        <v>87</v>
      </c>
      <c r="H43" s="25"/>
      <c r="I43" s="26">
        <f t="shared" si="0"/>
        <v>1</v>
      </c>
      <c r="J43" s="26">
        <f t="shared" si="1"/>
        <v>0</v>
      </c>
      <c r="L43" s="26" t="str">
        <f t="shared" si="2"/>
        <v/>
      </c>
      <c r="M43" s="24" t="s">
        <v>93</v>
      </c>
      <c r="N43" s="24" t="s">
        <v>73</v>
      </c>
      <c r="O43" s="24" t="s">
        <v>74</v>
      </c>
      <c r="P43" s="24" t="s">
        <v>94</v>
      </c>
      <c r="Q43" s="27"/>
      <c r="R43" s="28"/>
    </row>
    <row r="44" spans="1:22" ht="27.75" customHeight="1">
      <c r="A44" s="29" t="s">
        <v>67</v>
      </c>
      <c r="B44" s="29" t="s">
        <v>95</v>
      </c>
      <c r="C44" s="30">
        <v>6</v>
      </c>
      <c r="D44" s="30" t="s">
        <v>69</v>
      </c>
      <c r="E44" s="31" t="s">
        <v>70</v>
      </c>
      <c r="F44" s="31" t="s">
        <v>96</v>
      </c>
      <c r="H44" s="25"/>
      <c r="I44" s="26">
        <f t="shared" si="0"/>
        <v>1</v>
      </c>
      <c r="J44" s="26">
        <f t="shared" si="1"/>
        <v>0</v>
      </c>
      <c r="L44" s="26" t="str">
        <f t="shared" si="2"/>
        <v>CRITICAL FAIL</v>
      </c>
      <c r="M44" s="31" t="s">
        <v>72</v>
      </c>
      <c r="N44" s="31" t="s">
        <v>73</v>
      </c>
      <c r="O44" s="31" t="s">
        <v>74</v>
      </c>
      <c r="P44" s="31" t="s">
        <v>97</v>
      </c>
      <c r="Q44" s="27"/>
      <c r="R44" s="28"/>
    </row>
    <row r="45" spans="1:22" ht="27.75" customHeight="1">
      <c r="A45" s="22" t="s">
        <v>67</v>
      </c>
      <c r="B45" s="22" t="s">
        <v>98</v>
      </c>
      <c r="C45" s="23">
        <v>10</v>
      </c>
      <c r="D45" s="23" t="s">
        <v>69</v>
      </c>
      <c r="E45" s="24" t="s">
        <v>70</v>
      </c>
      <c r="F45" s="24" t="s">
        <v>99</v>
      </c>
      <c r="H45" s="25"/>
      <c r="I45" s="26">
        <f t="shared" si="0"/>
        <v>1</v>
      </c>
      <c r="J45" s="26">
        <f t="shared" si="1"/>
        <v>0</v>
      </c>
      <c r="L45" s="26" t="str">
        <f t="shared" si="2"/>
        <v>CRITICAL FAIL</v>
      </c>
      <c r="M45" s="24" t="s">
        <v>72</v>
      </c>
      <c r="N45" s="24" t="s">
        <v>100</v>
      </c>
      <c r="O45" s="24" t="s">
        <v>101</v>
      </c>
      <c r="P45" s="24" t="s">
        <v>102</v>
      </c>
      <c r="Q45" s="27"/>
      <c r="R45" s="28"/>
    </row>
    <row r="46" spans="1:22" ht="27.75" customHeight="1">
      <c r="A46" s="29" t="s">
        <v>67</v>
      </c>
      <c r="B46" s="29" t="s">
        <v>103</v>
      </c>
      <c r="C46" s="30">
        <v>7</v>
      </c>
      <c r="D46" s="30" t="s">
        <v>69</v>
      </c>
      <c r="E46" s="31" t="s">
        <v>70</v>
      </c>
      <c r="F46" s="31" t="s">
        <v>99</v>
      </c>
      <c r="G46" s="31" t="s">
        <v>104</v>
      </c>
      <c r="H46" s="25"/>
      <c r="I46" s="26">
        <f t="shared" si="0"/>
        <v>1</v>
      </c>
      <c r="J46" s="26">
        <f t="shared" si="1"/>
        <v>0</v>
      </c>
      <c r="K46" s="31" t="s">
        <v>105</v>
      </c>
      <c r="L46" s="26" t="str">
        <f t="shared" si="2"/>
        <v>CRITICAL FAIL</v>
      </c>
      <c r="M46" s="31" t="s">
        <v>78</v>
      </c>
      <c r="N46" s="31" t="s">
        <v>100</v>
      </c>
      <c r="O46" s="31" t="s">
        <v>101</v>
      </c>
      <c r="P46" s="31" t="s">
        <v>106</v>
      </c>
      <c r="Q46" s="27"/>
      <c r="R46" s="28"/>
    </row>
    <row r="47" spans="1:22" ht="27.75" customHeight="1">
      <c r="A47" s="22" t="s">
        <v>67</v>
      </c>
      <c r="B47" s="22" t="s">
        <v>107</v>
      </c>
      <c r="C47" s="23">
        <v>5</v>
      </c>
      <c r="D47" s="23" t="s">
        <v>92</v>
      </c>
      <c r="E47" s="24" t="s">
        <v>70</v>
      </c>
      <c r="F47" s="24" t="s">
        <v>99</v>
      </c>
      <c r="H47" s="25"/>
      <c r="I47" s="26">
        <f t="shared" si="0"/>
        <v>1</v>
      </c>
      <c r="J47" s="26">
        <f t="shared" si="1"/>
        <v>0</v>
      </c>
      <c r="L47" s="26" t="str">
        <f t="shared" si="2"/>
        <v/>
      </c>
      <c r="M47" s="24" t="s">
        <v>78</v>
      </c>
      <c r="N47" s="24" t="s">
        <v>100</v>
      </c>
      <c r="O47" s="24" t="s">
        <v>101</v>
      </c>
      <c r="P47" s="24" t="s">
        <v>108</v>
      </c>
      <c r="Q47" s="27"/>
      <c r="R47" s="28"/>
    </row>
    <row r="48" spans="1:22" ht="27.75" customHeight="1">
      <c r="A48" s="29" t="s">
        <v>67</v>
      </c>
      <c r="B48" s="29" t="s">
        <v>109</v>
      </c>
      <c r="C48" s="30">
        <v>6</v>
      </c>
      <c r="D48" s="30" t="s">
        <v>69</v>
      </c>
      <c r="E48" s="31" t="s">
        <v>70</v>
      </c>
      <c r="F48" s="31" t="s">
        <v>99</v>
      </c>
      <c r="H48" s="25"/>
      <c r="I48" s="26">
        <f t="shared" si="0"/>
        <v>1</v>
      </c>
      <c r="J48" s="26">
        <f t="shared" si="1"/>
        <v>0</v>
      </c>
      <c r="L48" s="26" t="str">
        <f t="shared" si="2"/>
        <v>CRITICAL FAIL</v>
      </c>
      <c r="M48" s="31" t="s">
        <v>88</v>
      </c>
      <c r="N48" s="31" t="s">
        <v>100</v>
      </c>
      <c r="O48" s="31" t="s">
        <v>89</v>
      </c>
      <c r="P48" s="31" t="s">
        <v>110</v>
      </c>
      <c r="Q48" s="27"/>
      <c r="R48" s="28"/>
    </row>
    <row r="49" spans="1:18" ht="27.75" customHeight="1">
      <c r="A49" s="22" t="s">
        <v>67</v>
      </c>
      <c r="B49" s="22" t="s">
        <v>111</v>
      </c>
      <c r="C49" s="23">
        <v>7</v>
      </c>
      <c r="D49" s="23" t="s">
        <v>69</v>
      </c>
      <c r="E49" s="24" t="s">
        <v>70</v>
      </c>
      <c r="F49" s="24" t="s">
        <v>71</v>
      </c>
      <c r="H49" s="25"/>
      <c r="I49" s="26">
        <f t="shared" si="0"/>
        <v>1</v>
      </c>
      <c r="J49" s="26">
        <f t="shared" si="1"/>
        <v>0</v>
      </c>
      <c r="L49" s="26" t="str">
        <f t="shared" si="2"/>
        <v>CRITICAL FAIL</v>
      </c>
      <c r="M49" s="24" t="s">
        <v>72</v>
      </c>
      <c r="N49" s="24" t="s">
        <v>73</v>
      </c>
      <c r="O49" s="24" t="s">
        <v>112</v>
      </c>
      <c r="P49" s="24" t="s">
        <v>113</v>
      </c>
      <c r="Q49" s="27"/>
      <c r="R49" s="28"/>
    </row>
    <row r="50" spans="1:18" ht="27.75" customHeight="1">
      <c r="A50" s="29" t="s">
        <v>67</v>
      </c>
      <c r="B50" s="29" t="s">
        <v>114</v>
      </c>
      <c r="C50" s="30">
        <v>4</v>
      </c>
      <c r="D50" s="30" t="s">
        <v>92</v>
      </c>
      <c r="E50" s="31" t="s">
        <v>70</v>
      </c>
      <c r="F50" s="31" t="s">
        <v>115</v>
      </c>
      <c r="H50" s="25"/>
      <c r="I50" s="26">
        <f t="shared" si="0"/>
        <v>1</v>
      </c>
      <c r="J50" s="26">
        <f t="shared" si="1"/>
        <v>0</v>
      </c>
      <c r="L50" s="26" t="str">
        <f t="shared" si="2"/>
        <v/>
      </c>
      <c r="M50" s="31" t="s">
        <v>78</v>
      </c>
      <c r="N50" s="31" t="s">
        <v>100</v>
      </c>
      <c r="O50" s="31" t="s">
        <v>101</v>
      </c>
      <c r="P50" s="31" t="s">
        <v>116</v>
      </c>
      <c r="Q50" s="27"/>
      <c r="R50" s="28"/>
    </row>
    <row r="51" spans="1:18" ht="27.75" customHeight="1">
      <c r="A51" s="22" t="s">
        <v>67</v>
      </c>
      <c r="B51" s="22" t="s">
        <v>117</v>
      </c>
      <c r="C51" s="23">
        <v>3</v>
      </c>
      <c r="D51" s="23" t="s">
        <v>92</v>
      </c>
      <c r="E51" s="24" t="s">
        <v>70</v>
      </c>
      <c r="F51" s="24" t="s">
        <v>71</v>
      </c>
      <c r="H51" s="25"/>
      <c r="I51" s="26">
        <f t="shared" si="0"/>
        <v>1</v>
      </c>
      <c r="J51" s="26">
        <f t="shared" si="1"/>
        <v>0</v>
      </c>
      <c r="L51" s="26" t="str">
        <f t="shared" si="2"/>
        <v/>
      </c>
      <c r="M51" s="24" t="s">
        <v>93</v>
      </c>
      <c r="N51" s="24" t="s">
        <v>100</v>
      </c>
      <c r="O51" s="24" t="s">
        <v>101</v>
      </c>
      <c r="P51" s="24" t="s">
        <v>118</v>
      </c>
      <c r="Q51" s="27"/>
      <c r="R51" s="28"/>
    </row>
    <row r="52" spans="1:18" ht="27.75" customHeight="1">
      <c r="A52" s="29" t="s">
        <v>67</v>
      </c>
      <c r="B52" s="29" t="s">
        <v>119</v>
      </c>
      <c r="C52" s="30">
        <v>4</v>
      </c>
      <c r="D52" s="30" t="s">
        <v>92</v>
      </c>
      <c r="E52" s="31" t="s">
        <v>70</v>
      </c>
      <c r="F52" s="31" t="s">
        <v>71</v>
      </c>
      <c r="H52" s="25"/>
      <c r="I52" s="26">
        <f t="shared" si="0"/>
        <v>1</v>
      </c>
      <c r="J52" s="26">
        <f t="shared" si="1"/>
        <v>0</v>
      </c>
      <c r="L52" s="26" t="str">
        <f t="shared" si="2"/>
        <v/>
      </c>
      <c r="M52" s="31" t="s">
        <v>78</v>
      </c>
      <c r="N52" s="31" t="s">
        <v>73</v>
      </c>
      <c r="O52" s="31" t="s">
        <v>74</v>
      </c>
      <c r="P52" s="31" t="s">
        <v>120</v>
      </c>
      <c r="Q52" s="27"/>
      <c r="R52" s="28"/>
    </row>
    <row r="53" spans="1:18" ht="14.25" customHeight="1"/>
    <row r="54" spans="1:18" ht="27.75" customHeight="1">
      <c r="A54" s="29" t="s">
        <v>121</v>
      </c>
      <c r="B54" s="29" t="s">
        <v>122</v>
      </c>
      <c r="C54" s="30">
        <v>8</v>
      </c>
      <c r="D54" s="30" t="s">
        <v>69</v>
      </c>
      <c r="E54" s="31" t="s">
        <v>70</v>
      </c>
      <c r="F54" s="31" t="s">
        <v>71</v>
      </c>
      <c r="G54" s="31" t="s">
        <v>123</v>
      </c>
      <c r="H54" s="25"/>
      <c r="I54" s="26">
        <f t="shared" ref="I54:I77" si="3">IF($E54="ALL",1,IF(ISNUMBER(LOOKUP($E54,$B$2)),1,0))</f>
        <v>1</v>
      </c>
      <c r="J54" s="26">
        <f t="shared" ref="J54:J77" si="4">IF(ISBLANK($H54),0,$C54*$H54*$I54)</f>
        <v>0</v>
      </c>
      <c r="K54" s="31" t="s">
        <v>124</v>
      </c>
      <c r="L54" s="26" t="str">
        <f t="shared" ref="L54:L77" si="5">IF(AND($D54="Y",$H54=0,$I54=1),"CRITICAL FAIL",IF($H54=-1,"EVIDENCE MISSING",""))</f>
        <v>CRITICAL FAIL</v>
      </c>
      <c r="M54" s="31" t="s">
        <v>78</v>
      </c>
      <c r="N54" s="31" t="s">
        <v>73</v>
      </c>
      <c r="O54" s="31" t="s">
        <v>125</v>
      </c>
      <c r="P54" s="31" t="s">
        <v>126</v>
      </c>
      <c r="Q54" s="27"/>
      <c r="R54" s="28"/>
    </row>
    <row r="55" spans="1:18" ht="27.75" customHeight="1">
      <c r="A55" s="22" t="s">
        <v>121</v>
      </c>
      <c r="B55" s="22" t="s">
        <v>127</v>
      </c>
      <c r="C55" s="23">
        <v>8</v>
      </c>
      <c r="D55" s="23" t="s">
        <v>69</v>
      </c>
      <c r="E55" s="24" t="s">
        <v>70</v>
      </c>
      <c r="F55" s="24" t="s">
        <v>71</v>
      </c>
      <c r="G55" s="24" t="s">
        <v>123</v>
      </c>
      <c r="H55" s="25"/>
      <c r="I55" s="26">
        <f t="shared" si="3"/>
        <v>1</v>
      </c>
      <c r="J55" s="26">
        <f t="shared" si="4"/>
        <v>0</v>
      </c>
      <c r="K55" s="24" t="s">
        <v>128</v>
      </c>
      <c r="L55" s="26" t="str">
        <f t="shared" si="5"/>
        <v>CRITICAL FAIL</v>
      </c>
      <c r="M55" s="24" t="s">
        <v>72</v>
      </c>
      <c r="N55" s="24" t="s">
        <v>73</v>
      </c>
      <c r="O55" s="24" t="s">
        <v>125</v>
      </c>
      <c r="P55" s="24" t="s">
        <v>129</v>
      </c>
      <c r="Q55" s="27"/>
      <c r="R55" s="28"/>
    </row>
    <row r="56" spans="1:18" ht="27.75" customHeight="1">
      <c r="A56" s="29" t="s">
        <v>121</v>
      </c>
      <c r="B56" s="29" t="s">
        <v>130</v>
      </c>
      <c r="C56" s="30">
        <v>6</v>
      </c>
      <c r="D56" s="30" t="s">
        <v>69</v>
      </c>
      <c r="E56" s="31" t="s">
        <v>70</v>
      </c>
      <c r="F56" s="31" t="s">
        <v>123</v>
      </c>
      <c r="G56" s="31" t="s">
        <v>99</v>
      </c>
      <c r="H56" s="25"/>
      <c r="I56" s="26">
        <f t="shared" si="3"/>
        <v>1</v>
      </c>
      <c r="J56" s="26">
        <f t="shared" si="4"/>
        <v>0</v>
      </c>
      <c r="L56" s="26" t="str">
        <f t="shared" si="5"/>
        <v>CRITICAL FAIL</v>
      </c>
      <c r="M56" s="31" t="s">
        <v>72</v>
      </c>
      <c r="N56" s="31" t="s">
        <v>100</v>
      </c>
      <c r="O56" s="31" t="s">
        <v>101</v>
      </c>
      <c r="P56" s="31" t="s">
        <v>131</v>
      </c>
      <c r="Q56" s="27"/>
      <c r="R56" s="28"/>
    </row>
    <row r="57" spans="1:18" ht="27.75" customHeight="1">
      <c r="A57" s="22" t="s">
        <v>121</v>
      </c>
      <c r="B57" s="22" t="s">
        <v>132</v>
      </c>
      <c r="C57" s="23">
        <v>4</v>
      </c>
      <c r="D57" s="23" t="s">
        <v>69</v>
      </c>
      <c r="E57" s="24" t="s">
        <v>70</v>
      </c>
      <c r="F57" s="24" t="s">
        <v>71</v>
      </c>
      <c r="H57" s="25"/>
      <c r="I57" s="26">
        <f t="shared" si="3"/>
        <v>1</v>
      </c>
      <c r="J57" s="26">
        <f t="shared" si="4"/>
        <v>0</v>
      </c>
      <c r="L57" s="26" t="str">
        <f t="shared" si="5"/>
        <v>CRITICAL FAIL</v>
      </c>
      <c r="M57" s="24" t="s">
        <v>88</v>
      </c>
      <c r="N57" s="24" t="s">
        <v>73</v>
      </c>
      <c r="O57" s="24" t="s">
        <v>74</v>
      </c>
      <c r="P57" s="24" t="s">
        <v>133</v>
      </c>
      <c r="Q57" s="27"/>
      <c r="R57" s="28"/>
    </row>
    <row r="58" spans="1:18" ht="27.75" customHeight="1">
      <c r="A58" s="29" t="s">
        <v>121</v>
      </c>
      <c r="B58" s="29" t="s">
        <v>134</v>
      </c>
      <c r="C58" s="30">
        <v>4</v>
      </c>
      <c r="D58" s="30" t="s">
        <v>92</v>
      </c>
      <c r="E58" s="31" t="s">
        <v>135</v>
      </c>
      <c r="F58" s="31" t="s">
        <v>123</v>
      </c>
      <c r="G58" s="31" t="s">
        <v>71</v>
      </c>
      <c r="H58" s="25"/>
      <c r="I58" s="26">
        <f t="shared" si="3"/>
        <v>0</v>
      </c>
      <c r="J58" s="26">
        <f t="shared" si="4"/>
        <v>0</v>
      </c>
      <c r="L58" s="26" t="str">
        <f t="shared" si="5"/>
        <v/>
      </c>
      <c r="M58" s="31" t="s">
        <v>78</v>
      </c>
      <c r="N58" s="31" t="s">
        <v>100</v>
      </c>
      <c r="O58" s="31" t="s">
        <v>101</v>
      </c>
      <c r="P58" s="31" t="s">
        <v>136</v>
      </c>
      <c r="Q58" s="27"/>
      <c r="R58" s="28"/>
    </row>
    <row r="59" spans="1:18" ht="27.75" customHeight="1">
      <c r="A59" s="22" t="s">
        <v>121</v>
      </c>
      <c r="B59" s="22" t="s">
        <v>137</v>
      </c>
      <c r="C59" s="23">
        <v>4</v>
      </c>
      <c r="D59" s="23" t="s">
        <v>92</v>
      </c>
      <c r="E59" s="24" t="s">
        <v>70</v>
      </c>
      <c r="F59" s="24" t="s">
        <v>123</v>
      </c>
      <c r="G59" s="24" t="s">
        <v>138</v>
      </c>
      <c r="H59" s="25"/>
      <c r="I59" s="26">
        <f t="shared" si="3"/>
        <v>1</v>
      </c>
      <c r="J59" s="26">
        <f t="shared" si="4"/>
        <v>0</v>
      </c>
      <c r="L59" s="26" t="str">
        <f t="shared" si="5"/>
        <v/>
      </c>
      <c r="M59" s="24" t="s">
        <v>78</v>
      </c>
      <c r="N59" s="24" t="s">
        <v>100</v>
      </c>
      <c r="O59" s="24" t="s">
        <v>101</v>
      </c>
      <c r="P59" s="24" t="s">
        <v>139</v>
      </c>
      <c r="Q59" s="27"/>
      <c r="R59" s="28"/>
    </row>
    <row r="60" spans="1:18" ht="27.75" customHeight="1">
      <c r="A60" s="29" t="s">
        <v>140</v>
      </c>
      <c r="B60" s="29" t="s">
        <v>141</v>
      </c>
      <c r="C60" s="30">
        <v>8</v>
      </c>
      <c r="D60" s="30" t="s">
        <v>69</v>
      </c>
      <c r="E60" s="31" t="s">
        <v>70</v>
      </c>
      <c r="F60" s="31" t="s">
        <v>71</v>
      </c>
      <c r="G60" s="31" t="s">
        <v>138</v>
      </c>
      <c r="H60" s="25"/>
      <c r="I60" s="26">
        <f t="shared" si="3"/>
        <v>1</v>
      </c>
      <c r="J60" s="26">
        <f t="shared" si="4"/>
        <v>0</v>
      </c>
      <c r="L60" s="26" t="str">
        <f t="shared" si="5"/>
        <v>CRITICAL FAIL</v>
      </c>
      <c r="M60" s="31" t="s">
        <v>88</v>
      </c>
      <c r="N60" s="31" t="s">
        <v>73</v>
      </c>
      <c r="O60" s="31" t="s">
        <v>89</v>
      </c>
      <c r="P60" s="31" t="s">
        <v>142</v>
      </c>
      <c r="Q60" s="27"/>
      <c r="R60" s="28"/>
    </row>
    <row r="61" spans="1:18" ht="27.75" customHeight="1">
      <c r="A61" s="22" t="s">
        <v>140</v>
      </c>
      <c r="B61" s="22" t="s">
        <v>143</v>
      </c>
      <c r="C61" s="23">
        <v>4</v>
      </c>
      <c r="D61" s="23" t="s">
        <v>92</v>
      </c>
      <c r="E61" s="24" t="s">
        <v>70</v>
      </c>
      <c r="F61" s="24" t="s">
        <v>71</v>
      </c>
      <c r="G61" s="24" t="s">
        <v>123</v>
      </c>
      <c r="H61" s="25"/>
      <c r="I61" s="26">
        <f t="shared" si="3"/>
        <v>1</v>
      </c>
      <c r="J61" s="26">
        <f t="shared" si="4"/>
        <v>0</v>
      </c>
      <c r="L61" s="26" t="str">
        <f t="shared" si="5"/>
        <v/>
      </c>
      <c r="M61" s="24" t="s">
        <v>78</v>
      </c>
      <c r="N61" s="24" t="s">
        <v>73</v>
      </c>
      <c r="O61" s="24" t="s">
        <v>125</v>
      </c>
      <c r="P61" s="24" t="s">
        <v>144</v>
      </c>
      <c r="Q61" s="27"/>
      <c r="R61" s="28"/>
    </row>
    <row r="62" spans="1:18" ht="27.75" customHeight="1">
      <c r="A62" s="29" t="s">
        <v>140</v>
      </c>
      <c r="B62" s="29" t="s">
        <v>145</v>
      </c>
      <c r="C62" s="30">
        <v>5</v>
      </c>
      <c r="D62" s="30" t="s">
        <v>92</v>
      </c>
      <c r="E62" s="31" t="s">
        <v>70</v>
      </c>
      <c r="F62" s="31" t="s">
        <v>71</v>
      </c>
      <c r="G62" s="31" t="s">
        <v>123</v>
      </c>
      <c r="H62" s="25"/>
      <c r="I62" s="26">
        <f t="shared" si="3"/>
        <v>1</v>
      </c>
      <c r="J62" s="26">
        <f t="shared" si="4"/>
        <v>0</v>
      </c>
      <c r="K62" s="31" t="s">
        <v>146</v>
      </c>
      <c r="L62" s="26" t="str">
        <f t="shared" si="5"/>
        <v/>
      </c>
      <c r="M62" s="31" t="s">
        <v>93</v>
      </c>
      <c r="N62" s="31" t="s">
        <v>73</v>
      </c>
      <c r="O62" s="31" t="s">
        <v>125</v>
      </c>
      <c r="P62" s="31" t="s">
        <v>147</v>
      </c>
      <c r="Q62" s="27"/>
      <c r="R62" s="28"/>
    </row>
    <row r="63" spans="1:18" ht="27.75" customHeight="1">
      <c r="A63" s="22" t="s">
        <v>140</v>
      </c>
      <c r="B63" s="22" t="s">
        <v>148</v>
      </c>
      <c r="C63" s="23">
        <v>5</v>
      </c>
      <c r="D63" s="23" t="s">
        <v>69</v>
      </c>
      <c r="E63" s="24" t="s">
        <v>70</v>
      </c>
      <c r="F63" s="24" t="s">
        <v>71</v>
      </c>
      <c r="G63" s="24" t="s">
        <v>138</v>
      </c>
      <c r="H63" s="25"/>
      <c r="I63" s="26">
        <f t="shared" si="3"/>
        <v>1</v>
      </c>
      <c r="J63" s="26">
        <f t="shared" si="4"/>
        <v>0</v>
      </c>
      <c r="L63" s="26" t="str">
        <f t="shared" si="5"/>
        <v>CRITICAL FAIL</v>
      </c>
      <c r="M63" s="24" t="s">
        <v>88</v>
      </c>
      <c r="N63" s="24" t="s">
        <v>73</v>
      </c>
      <c r="O63" s="24" t="s">
        <v>89</v>
      </c>
      <c r="P63" s="24" t="s">
        <v>149</v>
      </c>
      <c r="Q63" s="27"/>
      <c r="R63" s="28"/>
    </row>
    <row r="64" spans="1:18" ht="27.75" customHeight="1">
      <c r="A64" s="29" t="s">
        <v>150</v>
      </c>
      <c r="B64" s="29" t="s">
        <v>151</v>
      </c>
      <c r="C64" s="30">
        <v>8</v>
      </c>
      <c r="D64" s="30" t="s">
        <v>69</v>
      </c>
      <c r="E64" s="31" t="s">
        <v>70</v>
      </c>
      <c r="F64" s="31" t="s">
        <v>138</v>
      </c>
      <c r="H64" s="25"/>
      <c r="I64" s="26">
        <f t="shared" si="3"/>
        <v>1</v>
      </c>
      <c r="J64" s="26">
        <f t="shared" si="4"/>
        <v>0</v>
      </c>
      <c r="K64" s="31" t="s">
        <v>152</v>
      </c>
      <c r="L64" s="26" t="str">
        <f t="shared" si="5"/>
        <v>CRITICAL FAIL</v>
      </c>
      <c r="M64" s="31" t="s">
        <v>78</v>
      </c>
      <c r="N64" s="31" t="s">
        <v>73</v>
      </c>
      <c r="O64" s="31" t="s">
        <v>125</v>
      </c>
      <c r="P64" s="31" t="s">
        <v>153</v>
      </c>
      <c r="Q64" s="27"/>
      <c r="R64" s="28"/>
    </row>
    <row r="65" spans="1:18" ht="27.75" customHeight="1">
      <c r="A65" s="22" t="s">
        <v>150</v>
      </c>
      <c r="B65" s="22" t="s">
        <v>154</v>
      </c>
      <c r="C65" s="23">
        <v>5</v>
      </c>
      <c r="D65" s="23" t="s">
        <v>92</v>
      </c>
      <c r="E65" s="24" t="s">
        <v>70</v>
      </c>
      <c r="F65" s="24" t="s">
        <v>138</v>
      </c>
      <c r="H65" s="25"/>
      <c r="I65" s="26">
        <f t="shared" si="3"/>
        <v>1</v>
      </c>
      <c r="J65" s="26">
        <f t="shared" si="4"/>
        <v>0</v>
      </c>
      <c r="L65" s="26" t="str">
        <f t="shared" si="5"/>
        <v/>
      </c>
      <c r="M65" s="24" t="s">
        <v>78</v>
      </c>
      <c r="N65" s="24" t="s">
        <v>73</v>
      </c>
      <c r="O65" s="24" t="s">
        <v>125</v>
      </c>
      <c r="P65" s="24" t="s">
        <v>155</v>
      </c>
      <c r="Q65" s="27"/>
      <c r="R65" s="28"/>
    </row>
    <row r="66" spans="1:18" ht="27.75" customHeight="1">
      <c r="A66" s="29" t="s">
        <v>150</v>
      </c>
      <c r="B66" s="29" t="s">
        <v>156</v>
      </c>
      <c r="C66" s="30">
        <v>6</v>
      </c>
      <c r="D66" s="30" t="s">
        <v>92</v>
      </c>
      <c r="E66" s="31" t="s">
        <v>70</v>
      </c>
      <c r="F66" s="31" t="s">
        <v>157</v>
      </c>
      <c r="G66" s="31" t="s">
        <v>138</v>
      </c>
      <c r="H66" s="25"/>
      <c r="I66" s="26">
        <f t="shared" si="3"/>
        <v>1</v>
      </c>
      <c r="J66" s="26">
        <f t="shared" si="4"/>
        <v>0</v>
      </c>
      <c r="K66" s="31" t="s">
        <v>158</v>
      </c>
      <c r="L66" s="26" t="str">
        <f t="shared" si="5"/>
        <v/>
      </c>
      <c r="M66" s="31" t="s">
        <v>78</v>
      </c>
      <c r="N66" s="31" t="s">
        <v>73</v>
      </c>
      <c r="O66" s="31" t="s">
        <v>125</v>
      </c>
      <c r="P66" s="31" t="s">
        <v>159</v>
      </c>
      <c r="Q66" s="27"/>
      <c r="R66" s="28"/>
    </row>
    <row r="67" spans="1:18" ht="27.75" customHeight="1">
      <c r="A67" s="22" t="s">
        <v>150</v>
      </c>
      <c r="B67" s="22" t="s">
        <v>160</v>
      </c>
      <c r="C67" s="23">
        <v>4</v>
      </c>
      <c r="D67" s="23" t="s">
        <v>69</v>
      </c>
      <c r="E67" s="24" t="s">
        <v>70</v>
      </c>
      <c r="F67" s="24" t="s">
        <v>71</v>
      </c>
      <c r="G67" s="24" t="s">
        <v>138</v>
      </c>
      <c r="H67" s="25"/>
      <c r="I67" s="26">
        <f t="shared" si="3"/>
        <v>1</v>
      </c>
      <c r="J67" s="26">
        <f t="shared" si="4"/>
        <v>0</v>
      </c>
      <c r="L67" s="26" t="str">
        <f t="shared" si="5"/>
        <v>CRITICAL FAIL</v>
      </c>
      <c r="M67" s="24" t="s">
        <v>88</v>
      </c>
      <c r="N67" s="24" t="s">
        <v>73</v>
      </c>
      <c r="O67" s="24" t="s">
        <v>89</v>
      </c>
      <c r="P67" s="24" t="s">
        <v>161</v>
      </c>
      <c r="Q67" s="27"/>
      <c r="R67" s="28"/>
    </row>
    <row r="68" spans="1:18" ht="27.75" customHeight="1">
      <c r="A68" s="29" t="s">
        <v>150</v>
      </c>
      <c r="B68" s="29" t="s">
        <v>162</v>
      </c>
      <c r="C68" s="30">
        <v>3</v>
      </c>
      <c r="D68" s="30" t="s">
        <v>92</v>
      </c>
      <c r="E68" s="31" t="s">
        <v>70</v>
      </c>
      <c r="F68" s="31" t="s">
        <v>138</v>
      </c>
      <c r="H68" s="25"/>
      <c r="I68" s="26">
        <f t="shared" si="3"/>
        <v>1</v>
      </c>
      <c r="J68" s="26">
        <f t="shared" si="4"/>
        <v>0</v>
      </c>
      <c r="L68" s="26" t="str">
        <f t="shared" si="5"/>
        <v/>
      </c>
      <c r="M68" s="31" t="s">
        <v>93</v>
      </c>
      <c r="N68" s="31" t="s">
        <v>73</v>
      </c>
      <c r="O68" s="31" t="s">
        <v>112</v>
      </c>
      <c r="P68" s="31" t="s">
        <v>163</v>
      </c>
      <c r="Q68" s="27"/>
      <c r="R68" s="28"/>
    </row>
    <row r="69" spans="1:18" ht="27.75" customHeight="1">
      <c r="A69" s="22" t="s">
        <v>150</v>
      </c>
      <c r="B69" s="22" t="s">
        <v>164</v>
      </c>
      <c r="C69" s="23">
        <v>4</v>
      </c>
      <c r="D69" s="23" t="s">
        <v>69</v>
      </c>
      <c r="E69" s="24" t="s">
        <v>70</v>
      </c>
      <c r="F69" s="24" t="s">
        <v>165</v>
      </c>
      <c r="H69" s="25"/>
      <c r="I69" s="26">
        <f t="shared" si="3"/>
        <v>1</v>
      </c>
      <c r="J69" s="26">
        <f t="shared" si="4"/>
        <v>0</v>
      </c>
      <c r="L69" s="26" t="str">
        <f t="shared" si="5"/>
        <v>CRITICAL FAIL</v>
      </c>
      <c r="M69" s="24" t="s">
        <v>72</v>
      </c>
      <c r="N69" s="24" t="s">
        <v>100</v>
      </c>
      <c r="O69" s="24" t="s">
        <v>112</v>
      </c>
      <c r="P69" s="24" t="s">
        <v>166</v>
      </c>
      <c r="Q69" s="27"/>
      <c r="R69" s="28"/>
    </row>
    <row r="70" spans="1:18" ht="27.75" customHeight="1">
      <c r="A70" s="29" t="s">
        <v>167</v>
      </c>
      <c r="B70" s="29" t="s">
        <v>168</v>
      </c>
      <c r="C70" s="30">
        <v>10</v>
      </c>
      <c r="D70" s="30" t="s">
        <v>69</v>
      </c>
      <c r="E70" s="31" t="s">
        <v>70</v>
      </c>
      <c r="F70" s="31" t="s">
        <v>99</v>
      </c>
      <c r="H70" s="25"/>
      <c r="I70" s="26">
        <f t="shared" si="3"/>
        <v>1</v>
      </c>
      <c r="J70" s="26">
        <f t="shared" si="4"/>
        <v>0</v>
      </c>
      <c r="L70" s="26" t="str">
        <f t="shared" si="5"/>
        <v>CRITICAL FAIL</v>
      </c>
      <c r="M70" s="31" t="s">
        <v>88</v>
      </c>
      <c r="N70" s="31" t="s">
        <v>100</v>
      </c>
      <c r="O70" s="31" t="s">
        <v>89</v>
      </c>
      <c r="P70" s="31" t="s">
        <v>169</v>
      </c>
      <c r="Q70" s="27"/>
      <c r="R70" s="28"/>
    </row>
    <row r="71" spans="1:18" ht="27.75" customHeight="1">
      <c r="A71" s="22" t="s">
        <v>167</v>
      </c>
      <c r="B71" s="22" t="s">
        <v>170</v>
      </c>
      <c r="C71" s="23">
        <v>6</v>
      </c>
      <c r="D71" s="23" t="s">
        <v>69</v>
      </c>
      <c r="E71" s="24" t="s">
        <v>70</v>
      </c>
      <c r="F71" s="24" t="s">
        <v>99</v>
      </c>
      <c r="H71" s="25"/>
      <c r="I71" s="26">
        <f t="shared" si="3"/>
        <v>1</v>
      </c>
      <c r="J71" s="26">
        <f t="shared" si="4"/>
        <v>0</v>
      </c>
      <c r="L71" s="26" t="str">
        <f t="shared" si="5"/>
        <v>CRITICAL FAIL</v>
      </c>
      <c r="M71" s="24" t="s">
        <v>88</v>
      </c>
      <c r="N71" s="24" t="s">
        <v>100</v>
      </c>
      <c r="O71" s="24" t="s">
        <v>89</v>
      </c>
      <c r="P71" s="24" t="s">
        <v>171</v>
      </c>
      <c r="Q71" s="27"/>
      <c r="R71" s="28"/>
    </row>
    <row r="72" spans="1:18" ht="27.75" customHeight="1">
      <c r="A72" s="29" t="s">
        <v>172</v>
      </c>
      <c r="B72" s="29" t="s">
        <v>173</v>
      </c>
      <c r="C72" s="30">
        <v>8</v>
      </c>
      <c r="D72" s="30" t="s">
        <v>69</v>
      </c>
      <c r="E72" s="31" t="s">
        <v>70</v>
      </c>
      <c r="F72" s="31" t="s">
        <v>104</v>
      </c>
      <c r="G72" s="31" t="s">
        <v>115</v>
      </c>
      <c r="H72" s="25"/>
      <c r="I72" s="26">
        <f t="shared" si="3"/>
        <v>1</v>
      </c>
      <c r="J72" s="26">
        <f t="shared" si="4"/>
        <v>0</v>
      </c>
      <c r="L72" s="26" t="str">
        <f t="shared" si="5"/>
        <v>CRITICAL FAIL</v>
      </c>
      <c r="M72" s="31" t="s">
        <v>72</v>
      </c>
      <c r="N72" s="31" t="s">
        <v>100</v>
      </c>
      <c r="O72" s="31" t="s">
        <v>74</v>
      </c>
      <c r="P72" s="31" t="s">
        <v>174</v>
      </c>
      <c r="Q72" s="27"/>
      <c r="R72" s="28"/>
    </row>
    <row r="73" spans="1:18" ht="27.75" customHeight="1">
      <c r="A73" s="22" t="s">
        <v>172</v>
      </c>
      <c r="B73" s="22" t="s">
        <v>175</v>
      </c>
      <c r="C73" s="23">
        <v>3</v>
      </c>
      <c r="D73" s="23" t="s">
        <v>92</v>
      </c>
      <c r="E73" s="24" t="s">
        <v>70</v>
      </c>
      <c r="F73" s="24" t="s">
        <v>104</v>
      </c>
      <c r="H73" s="25"/>
      <c r="I73" s="26">
        <f t="shared" si="3"/>
        <v>1</v>
      </c>
      <c r="J73" s="26">
        <f t="shared" si="4"/>
        <v>0</v>
      </c>
      <c r="L73" s="26" t="str">
        <f t="shared" si="5"/>
        <v/>
      </c>
      <c r="M73" s="24" t="s">
        <v>78</v>
      </c>
      <c r="N73" s="24" t="s">
        <v>100</v>
      </c>
      <c r="O73" s="24" t="s">
        <v>74</v>
      </c>
      <c r="P73" s="24" t="s">
        <v>176</v>
      </c>
      <c r="Q73" s="27"/>
      <c r="R73" s="28"/>
    </row>
    <row r="74" spans="1:18" ht="27.75" customHeight="1">
      <c r="A74" s="29" t="s">
        <v>172</v>
      </c>
      <c r="B74" s="29" t="s">
        <v>177</v>
      </c>
      <c r="C74" s="30">
        <v>4</v>
      </c>
      <c r="D74" s="30" t="s">
        <v>92</v>
      </c>
      <c r="E74" s="31" t="s">
        <v>70</v>
      </c>
      <c r="F74" s="31" t="s">
        <v>123</v>
      </c>
      <c r="G74" s="31" t="s">
        <v>115</v>
      </c>
      <c r="H74" s="25"/>
      <c r="I74" s="26">
        <f t="shared" si="3"/>
        <v>1</v>
      </c>
      <c r="J74" s="26">
        <f t="shared" si="4"/>
        <v>0</v>
      </c>
      <c r="L74" s="26" t="str">
        <f t="shared" si="5"/>
        <v/>
      </c>
      <c r="M74" s="31" t="s">
        <v>93</v>
      </c>
      <c r="N74" s="31" t="s">
        <v>100</v>
      </c>
      <c r="O74" s="31" t="s">
        <v>101</v>
      </c>
      <c r="P74" s="31" t="s">
        <v>178</v>
      </c>
      <c r="Q74" s="27"/>
      <c r="R74" s="28"/>
    </row>
    <row r="75" spans="1:18" ht="27.75" customHeight="1">
      <c r="A75" s="22" t="s">
        <v>179</v>
      </c>
      <c r="B75" s="22" t="s">
        <v>180</v>
      </c>
      <c r="C75" s="23">
        <v>4</v>
      </c>
      <c r="D75" s="23" t="s">
        <v>92</v>
      </c>
      <c r="E75" s="24" t="s">
        <v>70</v>
      </c>
      <c r="F75" s="24" t="s">
        <v>87</v>
      </c>
      <c r="H75" s="25"/>
      <c r="I75" s="26">
        <f t="shared" si="3"/>
        <v>1</v>
      </c>
      <c r="J75" s="26">
        <f t="shared" si="4"/>
        <v>0</v>
      </c>
      <c r="L75" s="26" t="str">
        <f t="shared" si="5"/>
        <v/>
      </c>
      <c r="M75" s="24" t="s">
        <v>78</v>
      </c>
      <c r="N75" s="24" t="s">
        <v>73</v>
      </c>
      <c r="O75" s="24" t="s">
        <v>125</v>
      </c>
      <c r="P75" s="24" t="s">
        <v>181</v>
      </c>
      <c r="Q75" s="27"/>
      <c r="R75" s="28"/>
    </row>
    <row r="76" spans="1:18" ht="27.75" customHeight="1">
      <c r="A76" s="29" t="s">
        <v>179</v>
      </c>
      <c r="B76" s="29" t="s">
        <v>182</v>
      </c>
      <c r="C76" s="30">
        <v>6</v>
      </c>
      <c r="D76" s="30" t="s">
        <v>69</v>
      </c>
      <c r="E76" s="31" t="s">
        <v>70</v>
      </c>
      <c r="F76" s="31" t="s">
        <v>183</v>
      </c>
      <c r="H76" s="25"/>
      <c r="I76" s="26">
        <f t="shared" si="3"/>
        <v>1</v>
      </c>
      <c r="J76" s="26">
        <f t="shared" si="4"/>
        <v>0</v>
      </c>
      <c r="L76" s="26" t="str">
        <f t="shared" si="5"/>
        <v>CRITICAL FAIL</v>
      </c>
      <c r="M76" s="31" t="s">
        <v>72</v>
      </c>
      <c r="N76" s="31" t="s">
        <v>100</v>
      </c>
      <c r="O76" s="31" t="s">
        <v>101</v>
      </c>
      <c r="P76" s="31" t="s">
        <v>184</v>
      </c>
      <c r="Q76" s="27"/>
      <c r="R76" s="28"/>
    </row>
    <row r="77" spans="1:18" ht="27.75" customHeight="1">
      <c r="A77" s="22" t="s">
        <v>185</v>
      </c>
      <c r="B77" s="22" t="s">
        <v>186</v>
      </c>
      <c r="C77" s="23">
        <v>6</v>
      </c>
      <c r="D77" s="23" t="s">
        <v>69</v>
      </c>
      <c r="E77" s="24" t="s">
        <v>70</v>
      </c>
      <c r="F77" s="24" t="s">
        <v>165</v>
      </c>
      <c r="H77" s="25"/>
      <c r="I77" s="26">
        <f t="shared" si="3"/>
        <v>1</v>
      </c>
      <c r="J77" s="26">
        <f t="shared" si="4"/>
        <v>0</v>
      </c>
      <c r="K77" s="24" t="s">
        <v>187</v>
      </c>
      <c r="L77" s="26" t="str">
        <f t="shared" si="5"/>
        <v>CRITICAL FAIL</v>
      </c>
      <c r="M77" s="24" t="s">
        <v>78</v>
      </c>
      <c r="N77" s="24" t="s">
        <v>100</v>
      </c>
      <c r="O77" s="24" t="s">
        <v>112</v>
      </c>
      <c r="P77" s="24" t="s">
        <v>188</v>
      </c>
      <c r="Q77" s="27"/>
      <c r="R77" s="28"/>
    </row>
    <row r="78" spans="1:18" ht="14.25" customHeight="1"/>
    <row r="79" spans="1:18" ht="27.75" customHeight="1">
      <c r="A79" s="22" t="s">
        <v>189</v>
      </c>
      <c r="B79" s="22" t="s">
        <v>190</v>
      </c>
      <c r="C79" s="23">
        <v>8</v>
      </c>
      <c r="D79" s="23" t="s">
        <v>69</v>
      </c>
      <c r="E79" s="24" t="s">
        <v>70</v>
      </c>
      <c r="F79" s="24" t="s">
        <v>99</v>
      </c>
      <c r="G79" s="24" t="s">
        <v>104</v>
      </c>
      <c r="H79" s="25"/>
      <c r="I79" s="26">
        <f t="shared" ref="I79:I90" si="6">IF($E79="ALL",1,IF(ISNUMBER(LOOKUP($E79,$B$2)),1,0))</f>
        <v>1</v>
      </c>
      <c r="J79" s="26">
        <f t="shared" ref="J79:J90" si="7">IF(ISBLANK($H79),0,$C79*$H79*$I79)</f>
        <v>0</v>
      </c>
      <c r="L79" s="26" t="str">
        <f t="shared" ref="L79:L90" si="8">IF(AND($D79="Y",$H79=0,$I79=1),"CRITICAL FAIL",IF($H79=-1,"EVIDENCE MISSING",""))</f>
        <v>CRITICAL FAIL</v>
      </c>
      <c r="M79" s="24" t="s">
        <v>72</v>
      </c>
      <c r="N79" s="24" t="s">
        <v>100</v>
      </c>
      <c r="O79" s="24" t="s">
        <v>101</v>
      </c>
      <c r="P79" s="24" t="s">
        <v>191</v>
      </c>
      <c r="Q79" s="27"/>
      <c r="R79" s="28"/>
    </row>
    <row r="80" spans="1:18" ht="27.75" customHeight="1">
      <c r="A80" s="29" t="s">
        <v>189</v>
      </c>
      <c r="B80" s="29" t="s">
        <v>192</v>
      </c>
      <c r="C80" s="30">
        <v>6</v>
      </c>
      <c r="D80" s="30" t="s">
        <v>69</v>
      </c>
      <c r="E80" s="31" t="s">
        <v>70</v>
      </c>
      <c r="F80" s="31" t="s">
        <v>104</v>
      </c>
      <c r="H80" s="25"/>
      <c r="I80" s="26">
        <f t="shared" si="6"/>
        <v>1</v>
      </c>
      <c r="J80" s="26">
        <f t="shared" si="7"/>
        <v>0</v>
      </c>
      <c r="L80" s="26" t="str">
        <f t="shared" si="8"/>
        <v>CRITICAL FAIL</v>
      </c>
      <c r="M80" s="31" t="s">
        <v>72</v>
      </c>
      <c r="N80" s="31" t="s">
        <v>100</v>
      </c>
      <c r="O80" s="31" t="s">
        <v>101</v>
      </c>
      <c r="P80" s="31" t="s">
        <v>193</v>
      </c>
      <c r="Q80" s="27"/>
      <c r="R80" s="28"/>
    </row>
    <row r="81" spans="1:18" ht="27.75" customHeight="1">
      <c r="A81" s="22" t="s">
        <v>189</v>
      </c>
      <c r="B81" s="22" t="s">
        <v>194</v>
      </c>
      <c r="C81" s="23">
        <v>5</v>
      </c>
      <c r="D81" s="23" t="s">
        <v>92</v>
      </c>
      <c r="E81" s="24" t="s">
        <v>70</v>
      </c>
      <c r="F81" s="24" t="s">
        <v>99</v>
      </c>
      <c r="H81" s="25"/>
      <c r="I81" s="26">
        <f t="shared" si="6"/>
        <v>1</v>
      </c>
      <c r="J81" s="26">
        <f t="shared" si="7"/>
        <v>0</v>
      </c>
      <c r="L81" s="26" t="str">
        <f t="shared" si="8"/>
        <v/>
      </c>
      <c r="M81" s="24" t="s">
        <v>78</v>
      </c>
      <c r="N81" s="24" t="s">
        <v>100</v>
      </c>
      <c r="O81" s="24" t="s">
        <v>101</v>
      </c>
      <c r="P81" s="24" t="s">
        <v>195</v>
      </c>
      <c r="Q81" s="27"/>
      <c r="R81" s="28"/>
    </row>
    <row r="82" spans="1:18" ht="27.75" customHeight="1">
      <c r="A82" s="29" t="s">
        <v>189</v>
      </c>
      <c r="B82" s="29" t="s">
        <v>196</v>
      </c>
      <c r="C82" s="30">
        <v>7</v>
      </c>
      <c r="D82" s="30" t="s">
        <v>69</v>
      </c>
      <c r="E82" s="31" t="s">
        <v>70</v>
      </c>
      <c r="F82" s="31" t="s">
        <v>99</v>
      </c>
      <c r="G82" s="31" t="s">
        <v>71</v>
      </c>
      <c r="H82" s="25"/>
      <c r="I82" s="26">
        <f t="shared" si="6"/>
        <v>1</v>
      </c>
      <c r="J82" s="26">
        <f t="shared" si="7"/>
        <v>0</v>
      </c>
      <c r="L82" s="26" t="str">
        <f t="shared" si="8"/>
        <v>CRITICAL FAIL</v>
      </c>
      <c r="M82" s="31" t="s">
        <v>72</v>
      </c>
      <c r="N82" s="31" t="s">
        <v>73</v>
      </c>
      <c r="O82" s="31" t="s">
        <v>74</v>
      </c>
      <c r="P82" s="31" t="s">
        <v>197</v>
      </c>
      <c r="Q82" s="27"/>
      <c r="R82" s="28"/>
    </row>
    <row r="83" spans="1:18" ht="27.75" customHeight="1">
      <c r="A83" s="22" t="s">
        <v>189</v>
      </c>
      <c r="B83" s="22" t="s">
        <v>198</v>
      </c>
      <c r="C83" s="23">
        <v>6</v>
      </c>
      <c r="D83" s="23" t="s">
        <v>69</v>
      </c>
      <c r="E83" s="24" t="s">
        <v>70</v>
      </c>
      <c r="F83" s="24" t="s">
        <v>99</v>
      </c>
      <c r="G83" s="24" t="s">
        <v>123</v>
      </c>
      <c r="H83" s="25"/>
      <c r="I83" s="26">
        <f t="shared" si="6"/>
        <v>1</v>
      </c>
      <c r="J83" s="26">
        <f t="shared" si="7"/>
        <v>0</v>
      </c>
      <c r="L83" s="26" t="str">
        <f t="shared" si="8"/>
        <v>CRITICAL FAIL</v>
      </c>
      <c r="M83" s="24" t="s">
        <v>88</v>
      </c>
      <c r="N83" s="24" t="s">
        <v>100</v>
      </c>
      <c r="O83" s="24" t="s">
        <v>101</v>
      </c>
      <c r="P83" s="24" t="s">
        <v>199</v>
      </c>
      <c r="Q83" s="27"/>
      <c r="R83" s="28"/>
    </row>
    <row r="84" spans="1:18" ht="27.75" customHeight="1">
      <c r="A84" s="29" t="s">
        <v>189</v>
      </c>
      <c r="B84" s="29" t="s">
        <v>200</v>
      </c>
      <c r="C84" s="30">
        <v>4</v>
      </c>
      <c r="D84" s="30" t="s">
        <v>92</v>
      </c>
      <c r="E84" s="31" t="s">
        <v>70</v>
      </c>
      <c r="F84" s="31" t="s">
        <v>115</v>
      </c>
      <c r="H84" s="25"/>
      <c r="I84" s="26">
        <f t="shared" si="6"/>
        <v>1</v>
      </c>
      <c r="J84" s="26">
        <f t="shared" si="7"/>
        <v>0</v>
      </c>
      <c r="L84" s="26" t="str">
        <f t="shared" si="8"/>
        <v/>
      </c>
      <c r="M84" s="31" t="s">
        <v>78</v>
      </c>
      <c r="N84" s="31" t="s">
        <v>100</v>
      </c>
      <c r="O84" s="31" t="s">
        <v>101</v>
      </c>
      <c r="P84" s="31" t="s">
        <v>201</v>
      </c>
      <c r="Q84" s="27"/>
      <c r="R84" s="28"/>
    </row>
    <row r="85" spans="1:18" ht="27.75" customHeight="1">
      <c r="A85" s="22" t="s">
        <v>189</v>
      </c>
      <c r="B85" s="22" t="s">
        <v>202</v>
      </c>
      <c r="C85" s="23">
        <v>7</v>
      </c>
      <c r="D85" s="23" t="s">
        <v>69</v>
      </c>
      <c r="E85" s="24" t="s">
        <v>70</v>
      </c>
      <c r="F85" s="24" t="s">
        <v>99</v>
      </c>
      <c r="G85" s="24" t="s">
        <v>138</v>
      </c>
      <c r="H85" s="25"/>
      <c r="I85" s="26">
        <f t="shared" si="6"/>
        <v>1</v>
      </c>
      <c r="J85" s="26">
        <f t="shared" si="7"/>
        <v>0</v>
      </c>
      <c r="L85" s="26" t="str">
        <f t="shared" si="8"/>
        <v>CRITICAL FAIL</v>
      </c>
      <c r="M85" s="24" t="s">
        <v>88</v>
      </c>
      <c r="N85" s="24" t="s">
        <v>73</v>
      </c>
      <c r="O85" s="24" t="s">
        <v>89</v>
      </c>
      <c r="P85" s="24" t="s">
        <v>203</v>
      </c>
      <c r="Q85" s="27"/>
      <c r="R85" s="28"/>
    </row>
    <row r="86" spans="1:18" ht="27.75" customHeight="1">
      <c r="A86" s="29" t="s">
        <v>189</v>
      </c>
      <c r="B86" s="29" t="s">
        <v>204</v>
      </c>
      <c r="C86" s="30">
        <v>4</v>
      </c>
      <c r="D86" s="30" t="s">
        <v>92</v>
      </c>
      <c r="E86" s="31" t="s">
        <v>205</v>
      </c>
      <c r="F86" s="31" t="s">
        <v>104</v>
      </c>
      <c r="H86" s="25"/>
      <c r="I86" s="26">
        <f t="shared" si="6"/>
        <v>0</v>
      </c>
      <c r="J86" s="26">
        <f t="shared" si="7"/>
        <v>0</v>
      </c>
      <c r="L86" s="26" t="str">
        <f t="shared" si="8"/>
        <v/>
      </c>
      <c r="M86" s="31" t="s">
        <v>78</v>
      </c>
      <c r="N86" s="31" t="s">
        <v>100</v>
      </c>
      <c r="O86" s="31" t="s">
        <v>112</v>
      </c>
      <c r="P86" s="31" t="s">
        <v>206</v>
      </c>
      <c r="Q86" s="27"/>
      <c r="R86" s="28"/>
    </row>
    <row r="87" spans="1:18" ht="27.75" customHeight="1">
      <c r="A87" s="22" t="s">
        <v>189</v>
      </c>
      <c r="B87" s="22" t="s">
        <v>207</v>
      </c>
      <c r="C87" s="23">
        <v>5</v>
      </c>
      <c r="D87" s="23" t="s">
        <v>69</v>
      </c>
      <c r="E87" s="24" t="s">
        <v>70</v>
      </c>
      <c r="F87" s="24" t="s">
        <v>115</v>
      </c>
      <c r="H87" s="25"/>
      <c r="I87" s="26">
        <f t="shared" si="6"/>
        <v>1</v>
      </c>
      <c r="J87" s="26">
        <f t="shared" si="7"/>
        <v>0</v>
      </c>
      <c r="L87" s="26" t="str">
        <f t="shared" si="8"/>
        <v>CRITICAL FAIL</v>
      </c>
      <c r="M87" s="24" t="s">
        <v>72</v>
      </c>
      <c r="N87" s="24" t="s">
        <v>100</v>
      </c>
      <c r="O87" s="24" t="s">
        <v>74</v>
      </c>
      <c r="P87" s="24" t="s">
        <v>208</v>
      </c>
      <c r="Q87" s="27"/>
      <c r="R87" s="28"/>
    </row>
    <row r="88" spans="1:18" ht="27.75" customHeight="1">
      <c r="A88" s="29" t="s">
        <v>189</v>
      </c>
      <c r="B88" s="29" t="s">
        <v>209</v>
      </c>
      <c r="C88" s="30">
        <v>5</v>
      </c>
      <c r="D88" s="30" t="s">
        <v>92</v>
      </c>
      <c r="E88" s="31" t="s">
        <v>70</v>
      </c>
      <c r="F88" s="31" t="s">
        <v>99</v>
      </c>
      <c r="G88" s="31" t="s">
        <v>115</v>
      </c>
      <c r="H88" s="25"/>
      <c r="I88" s="26">
        <f t="shared" si="6"/>
        <v>1</v>
      </c>
      <c r="J88" s="26">
        <f t="shared" si="7"/>
        <v>0</v>
      </c>
      <c r="L88" s="26" t="str">
        <f t="shared" si="8"/>
        <v/>
      </c>
      <c r="M88" s="31" t="s">
        <v>78</v>
      </c>
      <c r="N88" s="31" t="s">
        <v>100</v>
      </c>
      <c r="O88" s="31" t="s">
        <v>125</v>
      </c>
      <c r="P88" s="31" t="s">
        <v>210</v>
      </c>
      <c r="Q88" s="27"/>
      <c r="R88" s="28"/>
    </row>
    <row r="89" spans="1:18" ht="27.75" customHeight="1">
      <c r="A89" s="22" t="s">
        <v>189</v>
      </c>
      <c r="B89" s="22" t="s">
        <v>211</v>
      </c>
      <c r="C89" s="23">
        <v>5</v>
      </c>
      <c r="D89" s="23" t="s">
        <v>92</v>
      </c>
      <c r="E89" s="24" t="s">
        <v>70</v>
      </c>
      <c r="F89" s="24" t="s">
        <v>138</v>
      </c>
      <c r="H89" s="25"/>
      <c r="I89" s="26">
        <f t="shared" si="6"/>
        <v>1</v>
      </c>
      <c r="J89" s="26">
        <f t="shared" si="7"/>
        <v>0</v>
      </c>
      <c r="K89" s="24" t="s">
        <v>212</v>
      </c>
      <c r="L89" s="26" t="str">
        <f t="shared" si="8"/>
        <v/>
      </c>
      <c r="M89" s="24" t="s">
        <v>78</v>
      </c>
      <c r="N89" s="24" t="s">
        <v>100</v>
      </c>
      <c r="O89" s="24" t="s">
        <v>89</v>
      </c>
      <c r="P89" s="24" t="s">
        <v>213</v>
      </c>
      <c r="Q89" s="27"/>
      <c r="R89" s="28"/>
    </row>
    <row r="90" spans="1:18" ht="27.75" customHeight="1">
      <c r="A90" s="29" t="s">
        <v>189</v>
      </c>
      <c r="B90" s="29" t="s">
        <v>214</v>
      </c>
      <c r="C90" s="30">
        <v>5</v>
      </c>
      <c r="D90" s="30" t="s">
        <v>69</v>
      </c>
      <c r="E90" s="31" t="s">
        <v>215</v>
      </c>
      <c r="F90" s="31" t="s">
        <v>104</v>
      </c>
      <c r="G90" s="31" t="s">
        <v>165</v>
      </c>
      <c r="H90" s="25"/>
      <c r="I90" s="26">
        <f t="shared" si="6"/>
        <v>0</v>
      </c>
      <c r="J90" s="26">
        <f t="shared" si="7"/>
        <v>0</v>
      </c>
      <c r="L90" s="26" t="str">
        <f t="shared" si="8"/>
        <v/>
      </c>
      <c r="M90" s="31" t="s">
        <v>88</v>
      </c>
      <c r="N90" s="31" t="s">
        <v>100</v>
      </c>
      <c r="O90" s="31" t="s">
        <v>89</v>
      </c>
      <c r="P90" s="31" t="s">
        <v>216</v>
      </c>
      <c r="Q90" s="27"/>
      <c r="R90" s="28"/>
    </row>
    <row r="91" spans="1:18" ht="14.25" customHeight="1"/>
    <row r="92" spans="1:18" ht="27.75" customHeight="1">
      <c r="A92" s="29" t="s">
        <v>217</v>
      </c>
      <c r="B92" s="29" t="s">
        <v>218</v>
      </c>
      <c r="C92" s="30">
        <v>3</v>
      </c>
      <c r="D92" s="30" t="s">
        <v>92</v>
      </c>
      <c r="E92" s="31" t="s">
        <v>70</v>
      </c>
      <c r="F92" s="31" t="s">
        <v>71</v>
      </c>
      <c r="H92" s="25"/>
      <c r="I92" s="26">
        <f t="shared" ref="I92:I102" si="9">IF($E92="ALL",1,IF(ISNUMBER(LOOKUP($E92,$B$2)),1,0))</f>
        <v>1</v>
      </c>
      <c r="J92" s="26">
        <f t="shared" ref="J92:J102" si="10">IF(ISBLANK($H92),0,$C92*$H92*$I92)</f>
        <v>0</v>
      </c>
      <c r="L92" s="26" t="str">
        <f t="shared" ref="L92:L102" si="11">IF(AND($D92="Y",$H92=0,$I92=1),"CRITICAL FAIL",IF($H92=-1,"EVIDENCE MISSING",""))</f>
        <v/>
      </c>
      <c r="M92" s="31" t="s">
        <v>93</v>
      </c>
      <c r="N92" s="31" t="s">
        <v>73</v>
      </c>
      <c r="O92" s="31" t="s">
        <v>112</v>
      </c>
      <c r="P92" s="31" t="s">
        <v>219</v>
      </c>
      <c r="Q92" s="27"/>
      <c r="R92" s="28"/>
    </row>
    <row r="93" spans="1:18" ht="27.75" customHeight="1">
      <c r="A93" s="22" t="s">
        <v>217</v>
      </c>
      <c r="B93" s="22" t="s">
        <v>220</v>
      </c>
      <c r="C93" s="23">
        <v>6</v>
      </c>
      <c r="D93" s="23" t="s">
        <v>69</v>
      </c>
      <c r="E93" s="24" t="s">
        <v>70</v>
      </c>
      <c r="F93" s="24" t="s">
        <v>71</v>
      </c>
      <c r="G93" s="24" t="s">
        <v>123</v>
      </c>
      <c r="H93" s="25"/>
      <c r="I93" s="26">
        <f t="shared" si="9"/>
        <v>1</v>
      </c>
      <c r="J93" s="26">
        <f t="shared" si="10"/>
        <v>0</v>
      </c>
      <c r="L93" s="26" t="str">
        <f t="shared" si="11"/>
        <v>CRITICAL FAIL</v>
      </c>
      <c r="M93" s="24" t="s">
        <v>72</v>
      </c>
      <c r="N93" s="24" t="s">
        <v>73</v>
      </c>
      <c r="O93" s="24" t="s">
        <v>125</v>
      </c>
      <c r="P93" s="24" t="s">
        <v>221</v>
      </c>
      <c r="Q93" s="27"/>
      <c r="R93" s="28"/>
    </row>
    <row r="94" spans="1:18" ht="27.75" customHeight="1">
      <c r="A94" s="29" t="s">
        <v>217</v>
      </c>
      <c r="B94" s="29" t="s">
        <v>222</v>
      </c>
      <c r="C94" s="30">
        <v>6</v>
      </c>
      <c r="D94" s="30" t="s">
        <v>69</v>
      </c>
      <c r="E94" s="31" t="s">
        <v>70</v>
      </c>
      <c r="F94" s="31" t="s">
        <v>138</v>
      </c>
      <c r="G94" s="31" t="s">
        <v>71</v>
      </c>
      <c r="H94" s="25"/>
      <c r="I94" s="26">
        <f t="shared" si="9"/>
        <v>1</v>
      </c>
      <c r="J94" s="26">
        <f t="shared" si="10"/>
        <v>0</v>
      </c>
      <c r="L94" s="26" t="str">
        <f t="shared" si="11"/>
        <v>CRITICAL FAIL</v>
      </c>
      <c r="M94" s="31" t="s">
        <v>72</v>
      </c>
      <c r="N94" s="31" t="s">
        <v>73</v>
      </c>
      <c r="O94" s="31" t="s">
        <v>125</v>
      </c>
      <c r="P94" s="31" t="s">
        <v>223</v>
      </c>
      <c r="Q94" s="27"/>
      <c r="R94" s="28"/>
    </row>
    <row r="95" spans="1:18" ht="27.75" customHeight="1">
      <c r="A95" s="22" t="s">
        <v>217</v>
      </c>
      <c r="B95" s="22" t="s">
        <v>224</v>
      </c>
      <c r="C95" s="23">
        <v>4</v>
      </c>
      <c r="D95" s="23" t="s">
        <v>92</v>
      </c>
      <c r="E95" s="24" t="s">
        <v>70</v>
      </c>
      <c r="F95" s="24" t="s">
        <v>71</v>
      </c>
      <c r="G95" s="24" t="s">
        <v>138</v>
      </c>
      <c r="H95" s="25"/>
      <c r="I95" s="26">
        <f t="shared" si="9"/>
        <v>1</v>
      </c>
      <c r="J95" s="26">
        <f t="shared" si="10"/>
        <v>0</v>
      </c>
      <c r="L95" s="26" t="str">
        <f t="shared" si="11"/>
        <v/>
      </c>
      <c r="M95" s="24" t="s">
        <v>78</v>
      </c>
      <c r="N95" s="24" t="s">
        <v>73</v>
      </c>
      <c r="O95" s="24" t="s">
        <v>125</v>
      </c>
      <c r="P95" s="24" t="s">
        <v>225</v>
      </c>
      <c r="Q95" s="27"/>
      <c r="R95" s="28"/>
    </row>
    <row r="96" spans="1:18" ht="27.75" customHeight="1">
      <c r="A96" s="29" t="s">
        <v>217</v>
      </c>
      <c r="B96" s="29" t="s">
        <v>226</v>
      </c>
      <c r="C96" s="30">
        <v>4</v>
      </c>
      <c r="D96" s="30" t="s">
        <v>92</v>
      </c>
      <c r="E96" s="31" t="s">
        <v>70</v>
      </c>
      <c r="F96" s="31" t="s">
        <v>157</v>
      </c>
      <c r="G96" s="31" t="s">
        <v>123</v>
      </c>
      <c r="H96" s="25"/>
      <c r="I96" s="26">
        <f t="shared" si="9"/>
        <v>1</v>
      </c>
      <c r="J96" s="26">
        <f t="shared" si="10"/>
        <v>0</v>
      </c>
      <c r="L96" s="26" t="str">
        <f t="shared" si="11"/>
        <v/>
      </c>
      <c r="M96" s="31" t="s">
        <v>78</v>
      </c>
      <c r="N96" s="31" t="s">
        <v>73</v>
      </c>
      <c r="O96" s="31" t="s">
        <v>125</v>
      </c>
      <c r="P96" s="31" t="s">
        <v>227</v>
      </c>
      <c r="Q96" s="27"/>
      <c r="R96" s="28"/>
    </row>
    <row r="97" spans="1:18" ht="27.75" customHeight="1">
      <c r="A97" s="22" t="s">
        <v>217</v>
      </c>
      <c r="B97" s="22" t="s">
        <v>228</v>
      </c>
      <c r="C97" s="23">
        <v>4</v>
      </c>
      <c r="D97" s="23" t="s">
        <v>92</v>
      </c>
      <c r="E97" s="24" t="s">
        <v>70</v>
      </c>
      <c r="F97" s="24" t="s">
        <v>71</v>
      </c>
      <c r="G97" s="24" t="s">
        <v>123</v>
      </c>
      <c r="H97" s="25"/>
      <c r="I97" s="26">
        <f t="shared" si="9"/>
        <v>1</v>
      </c>
      <c r="J97" s="26">
        <f t="shared" si="10"/>
        <v>0</v>
      </c>
      <c r="L97" s="26" t="str">
        <f t="shared" si="11"/>
        <v/>
      </c>
      <c r="M97" s="24" t="s">
        <v>93</v>
      </c>
      <c r="N97" s="24" t="s">
        <v>73</v>
      </c>
      <c r="O97" s="24" t="s">
        <v>125</v>
      </c>
      <c r="P97" s="24" t="s">
        <v>229</v>
      </c>
      <c r="Q97" s="27"/>
      <c r="R97" s="28"/>
    </row>
    <row r="98" spans="1:18" ht="27.75" customHeight="1">
      <c r="A98" s="29" t="s">
        <v>217</v>
      </c>
      <c r="B98" s="29" t="s">
        <v>230</v>
      </c>
      <c r="C98" s="30">
        <v>3</v>
      </c>
      <c r="D98" s="30" t="s">
        <v>92</v>
      </c>
      <c r="E98" s="31" t="s">
        <v>70</v>
      </c>
      <c r="F98" s="31" t="s">
        <v>157</v>
      </c>
      <c r="G98" s="31" t="s">
        <v>123</v>
      </c>
      <c r="H98" s="25"/>
      <c r="I98" s="26">
        <f t="shared" si="9"/>
        <v>1</v>
      </c>
      <c r="J98" s="26">
        <f t="shared" si="10"/>
        <v>0</v>
      </c>
      <c r="L98" s="26" t="str">
        <f t="shared" si="11"/>
        <v/>
      </c>
      <c r="M98" s="31" t="s">
        <v>93</v>
      </c>
      <c r="N98" s="31" t="s">
        <v>73</v>
      </c>
      <c r="O98" s="31" t="s">
        <v>125</v>
      </c>
      <c r="P98" s="31" t="s">
        <v>231</v>
      </c>
      <c r="Q98" s="27"/>
      <c r="R98" s="28"/>
    </row>
    <row r="99" spans="1:18" ht="27.75" customHeight="1">
      <c r="A99" s="22" t="s">
        <v>217</v>
      </c>
      <c r="B99" s="22" t="s">
        <v>232</v>
      </c>
      <c r="C99" s="23">
        <v>5</v>
      </c>
      <c r="D99" s="23" t="s">
        <v>69</v>
      </c>
      <c r="E99" s="24" t="s">
        <v>70</v>
      </c>
      <c r="F99" s="24" t="s">
        <v>71</v>
      </c>
      <c r="H99" s="25"/>
      <c r="I99" s="26">
        <f t="shared" si="9"/>
        <v>1</v>
      </c>
      <c r="J99" s="26">
        <f t="shared" si="10"/>
        <v>0</v>
      </c>
      <c r="L99" s="26" t="str">
        <f t="shared" si="11"/>
        <v>CRITICAL FAIL</v>
      </c>
      <c r="M99" s="24" t="s">
        <v>72</v>
      </c>
      <c r="N99" s="24" t="s">
        <v>73</v>
      </c>
      <c r="O99" s="24" t="s">
        <v>74</v>
      </c>
      <c r="P99" s="24" t="s">
        <v>233</v>
      </c>
      <c r="Q99" s="27"/>
      <c r="R99" s="28"/>
    </row>
    <row r="100" spans="1:18" ht="27.75" customHeight="1">
      <c r="A100" s="29" t="s">
        <v>217</v>
      </c>
      <c r="B100" s="29" t="s">
        <v>234</v>
      </c>
      <c r="C100" s="30">
        <v>4</v>
      </c>
      <c r="D100" s="30" t="s">
        <v>92</v>
      </c>
      <c r="E100" s="31" t="s">
        <v>70</v>
      </c>
      <c r="F100" s="31" t="s">
        <v>138</v>
      </c>
      <c r="G100" s="31" t="s">
        <v>123</v>
      </c>
      <c r="H100" s="25"/>
      <c r="I100" s="26">
        <f t="shared" si="9"/>
        <v>1</v>
      </c>
      <c r="J100" s="26">
        <f t="shared" si="10"/>
        <v>0</v>
      </c>
      <c r="L100" s="26" t="str">
        <f t="shared" si="11"/>
        <v/>
      </c>
      <c r="M100" s="31" t="s">
        <v>78</v>
      </c>
      <c r="N100" s="31" t="s">
        <v>73</v>
      </c>
      <c r="O100" s="31" t="s">
        <v>112</v>
      </c>
      <c r="P100" s="31" t="s">
        <v>235</v>
      </c>
      <c r="Q100" s="27"/>
      <c r="R100" s="28"/>
    </row>
    <row r="101" spans="1:18" ht="27.75" customHeight="1">
      <c r="A101" s="22" t="s">
        <v>217</v>
      </c>
      <c r="B101" s="22" t="s">
        <v>236</v>
      </c>
      <c r="C101" s="23">
        <v>6</v>
      </c>
      <c r="D101" s="23" t="s">
        <v>69</v>
      </c>
      <c r="E101" s="24" t="s">
        <v>70</v>
      </c>
      <c r="F101" s="24" t="s">
        <v>71</v>
      </c>
      <c r="H101" s="25"/>
      <c r="I101" s="26">
        <f t="shared" si="9"/>
        <v>1</v>
      </c>
      <c r="J101" s="26">
        <f t="shared" si="10"/>
        <v>0</v>
      </c>
      <c r="L101" s="26" t="str">
        <f t="shared" si="11"/>
        <v>CRITICAL FAIL</v>
      </c>
      <c r="M101" s="24" t="s">
        <v>72</v>
      </c>
      <c r="N101" s="24" t="s">
        <v>73</v>
      </c>
      <c r="O101" s="24" t="s">
        <v>74</v>
      </c>
      <c r="P101" s="24" t="s">
        <v>237</v>
      </c>
      <c r="Q101" s="27"/>
      <c r="R101" s="28"/>
    </row>
    <row r="102" spans="1:18" ht="27.75" customHeight="1">
      <c r="A102" s="29" t="s">
        <v>217</v>
      </c>
      <c r="B102" s="29" t="s">
        <v>238</v>
      </c>
      <c r="C102" s="30">
        <v>2</v>
      </c>
      <c r="D102" s="30" t="s">
        <v>92</v>
      </c>
      <c r="E102" s="31" t="s">
        <v>70</v>
      </c>
      <c r="F102" s="31" t="s">
        <v>71</v>
      </c>
      <c r="H102" s="25"/>
      <c r="I102" s="26">
        <f t="shared" si="9"/>
        <v>1</v>
      </c>
      <c r="J102" s="26">
        <f t="shared" si="10"/>
        <v>0</v>
      </c>
      <c r="L102" s="26" t="str">
        <f t="shared" si="11"/>
        <v/>
      </c>
      <c r="M102" s="31" t="s">
        <v>239</v>
      </c>
      <c r="N102" s="31" t="s">
        <v>73</v>
      </c>
      <c r="O102" s="31" t="s">
        <v>112</v>
      </c>
      <c r="P102" s="31" t="s">
        <v>240</v>
      </c>
      <c r="Q102" s="27"/>
      <c r="R102" s="28"/>
    </row>
    <row r="103" spans="1:18" ht="14.25" customHeight="1"/>
    <row r="104" spans="1:18" ht="27.75" customHeight="1">
      <c r="A104" s="29" t="s">
        <v>241</v>
      </c>
      <c r="B104" s="29" t="s">
        <v>242</v>
      </c>
      <c r="C104" s="30">
        <v>4</v>
      </c>
      <c r="D104" s="30" t="s">
        <v>92</v>
      </c>
      <c r="E104" s="31" t="s">
        <v>70</v>
      </c>
      <c r="F104" s="31" t="s">
        <v>71</v>
      </c>
      <c r="G104" s="31" t="s">
        <v>87</v>
      </c>
      <c r="H104" s="25"/>
      <c r="I104" s="26">
        <f t="shared" ref="I104:I115" si="12">IF($E104="ALL",1,IF(ISNUMBER(LOOKUP($E104,$B$2)),1,0))</f>
        <v>1</v>
      </c>
      <c r="J104" s="26">
        <f t="shared" ref="J104:J115" si="13">IF(ISBLANK($H104),0,$C104*$H104*$I104)</f>
        <v>0</v>
      </c>
      <c r="L104" s="26" t="str">
        <f t="shared" ref="L104:L115" si="14">IF(AND($D104="Y",$H104=0,$I104=1),"CRITICAL FAIL",IF($H104=-1,"EVIDENCE MISSING",""))</f>
        <v/>
      </c>
      <c r="M104" s="31" t="s">
        <v>78</v>
      </c>
      <c r="N104" s="31" t="s">
        <v>73</v>
      </c>
      <c r="O104" s="31" t="s">
        <v>125</v>
      </c>
      <c r="P104" s="31" t="s">
        <v>243</v>
      </c>
      <c r="Q104" s="27"/>
      <c r="R104" s="28"/>
    </row>
    <row r="105" spans="1:18" ht="27.75" customHeight="1">
      <c r="A105" s="22" t="s">
        <v>241</v>
      </c>
      <c r="B105" s="22" t="s">
        <v>244</v>
      </c>
      <c r="C105" s="23">
        <v>5</v>
      </c>
      <c r="D105" s="23" t="s">
        <v>92</v>
      </c>
      <c r="E105" s="24" t="s">
        <v>70</v>
      </c>
      <c r="F105" s="24" t="s">
        <v>71</v>
      </c>
      <c r="G105" s="24" t="s">
        <v>157</v>
      </c>
      <c r="H105" s="25"/>
      <c r="I105" s="26">
        <f t="shared" si="12"/>
        <v>1</v>
      </c>
      <c r="J105" s="26">
        <f t="shared" si="13"/>
        <v>0</v>
      </c>
      <c r="L105" s="26" t="str">
        <f t="shared" si="14"/>
        <v/>
      </c>
      <c r="M105" s="24" t="s">
        <v>78</v>
      </c>
      <c r="N105" s="24" t="s">
        <v>73</v>
      </c>
      <c r="O105" s="24" t="s">
        <v>125</v>
      </c>
      <c r="P105" s="24" t="s">
        <v>245</v>
      </c>
      <c r="Q105" s="27"/>
      <c r="R105" s="28"/>
    </row>
    <row r="106" spans="1:18" ht="27.75" customHeight="1">
      <c r="A106" s="29" t="s">
        <v>241</v>
      </c>
      <c r="B106" s="29" t="s">
        <v>246</v>
      </c>
      <c r="C106" s="30">
        <v>5</v>
      </c>
      <c r="D106" s="30" t="s">
        <v>92</v>
      </c>
      <c r="E106" s="31" t="s">
        <v>70</v>
      </c>
      <c r="F106" s="31" t="s">
        <v>71</v>
      </c>
      <c r="G106" s="31" t="s">
        <v>123</v>
      </c>
      <c r="H106" s="25"/>
      <c r="I106" s="26">
        <f t="shared" si="12"/>
        <v>1</v>
      </c>
      <c r="J106" s="26">
        <f t="shared" si="13"/>
        <v>0</v>
      </c>
      <c r="L106" s="26" t="str">
        <f t="shared" si="14"/>
        <v/>
      </c>
      <c r="M106" s="31" t="s">
        <v>78</v>
      </c>
      <c r="N106" s="31" t="s">
        <v>73</v>
      </c>
      <c r="O106" s="31" t="s">
        <v>125</v>
      </c>
      <c r="P106" s="31" t="s">
        <v>247</v>
      </c>
      <c r="Q106" s="27"/>
      <c r="R106" s="28"/>
    </row>
    <row r="107" spans="1:18" ht="27.75" customHeight="1">
      <c r="A107" s="22" t="s">
        <v>241</v>
      </c>
      <c r="B107" s="22" t="s">
        <v>248</v>
      </c>
      <c r="C107" s="23">
        <v>4</v>
      </c>
      <c r="D107" s="23" t="s">
        <v>92</v>
      </c>
      <c r="E107" s="24" t="s">
        <v>70</v>
      </c>
      <c r="F107" s="24" t="s">
        <v>71</v>
      </c>
      <c r="H107" s="25"/>
      <c r="I107" s="26">
        <f t="shared" si="12"/>
        <v>1</v>
      </c>
      <c r="J107" s="26">
        <f t="shared" si="13"/>
        <v>0</v>
      </c>
      <c r="L107" s="26" t="str">
        <f t="shared" si="14"/>
        <v/>
      </c>
      <c r="M107" s="24" t="s">
        <v>93</v>
      </c>
      <c r="N107" s="24" t="s">
        <v>73</v>
      </c>
      <c r="O107" s="24" t="s">
        <v>125</v>
      </c>
      <c r="P107" s="24" t="s">
        <v>249</v>
      </c>
      <c r="Q107" s="27"/>
      <c r="R107" s="28"/>
    </row>
    <row r="108" spans="1:18" ht="27.75" customHeight="1">
      <c r="A108" s="29" t="s">
        <v>241</v>
      </c>
      <c r="B108" s="29" t="s">
        <v>250</v>
      </c>
      <c r="C108" s="30">
        <v>6</v>
      </c>
      <c r="D108" s="30" t="s">
        <v>69</v>
      </c>
      <c r="E108" s="31" t="s">
        <v>70</v>
      </c>
      <c r="F108" s="31" t="s">
        <v>71</v>
      </c>
      <c r="G108" s="31" t="s">
        <v>123</v>
      </c>
      <c r="H108" s="25"/>
      <c r="I108" s="26">
        <f t="shared" si="12"/>
        <v>1</v>
      </c>
      <c r="J108" s="26">
        <f t="shared" si="13"/>
        <v>0</v>
      </c>
      <c r="K108" s="31" t="s">
        <v>251</v>
      </c>
      <c r="L108" s="26" t="str">
        <f t="shared" si="14"/>
        <v>CRITICAL FAIL</v>
      </c>
      <c r="M108" s="31" t="s">
        <v>72</v>
      </c>
      <c r="N108" s="31" t="s">
        <v>73</v>
      </c>
      <c r="O108" s="31" t="s">
        <v>125</v>
      </c>
      <c r="P108" s="31" t="s">
        <v>252</v>
      </c>
      <c r="Q108" s="27"/>
      <c r="R108" s="28"/>
    </row>
    <row r="109" spans="1:18" ht="27.75" customHeight="1">
      <c r="A109" s="22" t="s">
        <v>241</v>
      </c>
      <c r="B109" s="22" t="s">
        <v>253</v>
      </c>
      <c r="C109" s="23">
        <v>3</v>
      </c>
      <c r="D109" s="23" t="s">
        <v>92</v>
      </c>
      <c r="E109" s="24" t="s">
        <v>70</v>
      </c>
      <c r="F109" s="24" t="s">
        <v>71</v>
      </c>
      <c r="H109" s="25"/>
      <c r="I109" s="26">
        <f t="shared" si="12"/>
        <v>1</v>
      </c>
      <c r="J109" s="26">
        <f t="shared" si="13"/>
        <v>0</v>
      </c>
      <c r="L109" s="26" t="str">
        <f t="shared" si="14"/>
        <v/>
      </c>
      <c r="M109" s="24" t="s">
        <v>93</v>
      </c>
      <c r="N109" s="24" t="s">
        <v>73</v>
      </c>
      <c r="O109" s="24" t="s">
        <v>74</v>
      </c>
      <c r="P109" s="24" t="s">
        <v>254</v>
      </c>
      <c r="Q109" s="27"/>
      <c r="R109" s="28"/>
    </row>
    <row r="110" spans="1:18" ht="27.75" customHeight="1">
      <c r="A110" s="29" t="s">
        <v>241</v>
      </c>
      <c r="B110" s="29" t="s">
        <v>255</v>
      </c>
      <c r="C110" s="30">
        <v>4</v>
      </c>
      <c r="D110" s="30" t="s">
        <v>92</v>
      </c>
      <c r="E110" s="31" t="s">
        <v>70</v>
      </c>
      <c r="F110" s="31" t="s">
        <v>157</v>
      </c>
      <c r="G110" s="31" t="s">
        <v>71</v>
      </c>
      <c r="H110" s="25"/>
      <c r="I110" s="26">
        <f t="shared" si="12"/>
        <v>1</v>
      </c>
      <c r="J110" s="26">
        <f t="shared" si="13"/>
        <v>0</v>
      </c>
      <c r="L110" s="26" t="str">
        <f t="shared" si="14"/>
        <v/>
      </c>
      <c r="M110" s="31" t="s">
        <v>78</v>
      </c>
      <c r="N110" s="31" t="s">
        <v>73</v>
      </c>
      <c r="O110" s="31" t="s">
        <v>89</v>
      </c>
      <c r="P110" s="31" t="s">
        <v>256</v>
      </c>
      <c r="Q110" s="27"/>
      <c r="R110" s="28"/>
    </row>
    <row r="111" spans="1:18" ht="27.75" customHeight="1">
      <c r="A111" s="22" t="s">
        <v>241</v>
      </c>
      <c r="B111" s="22" t="s">
        <v>257</v>
      </c>
      <c r="C111" s="23">
        <v>5</v>
      </c>
      <c r="D111" s="23" t="s">
        <v>92</v>
      </c>
      <c r="E111" s="24" t="s">
        <v>70</v>
      </c>
      <c r="F111" s="24" t="s">
        <v>71</v>
      </c>
      <c r="G111" s="24" t="s">
        <v>123</v>
      </c>
      <c r="H111" s="25"/>
      <c r="I111" s="26">
        <f t="shared" si="12"/>
        <v>1</v>
      </c>
      <c r="J111" s="26">
        <f t="shared" si="13"/>
        <v>0</v>
      </c>
      <c r="K111" s="24" t="s">
        <v>258</v>
      </c>
      <c r="L111" s="26" t="str">
        <f t="shared" si="14"/>
        <v/>
      </c>
      <c r="M111" s="24" t="s">
        <v>93</v>
      </c>
      <c r="N111" s="24" t="s">
        <v>73</v>
      </c>
      <c r="O111" s="24" t="s">
        <v>125</v>
      </c>
      <c r="P111" s="24" t="s">
        <v>259</v>
      </c>
      <c r="Q111" s="27"/>
      <c r="R111" s="28"/>
    </row>
    <row r="112" spans="1:18" ht="27.75" customHeight="1">
      <c r="A112" s="29" t="s">
        <v>241</v>
      </c>
      <c r="B112" s="29" t="s">
        <v>260</v>
      </c>
      <c r="C112" s="30">
        <v>4</v>
      </c>
      <c r="D112" s="30" t="s">
        <v>92</v>
      </c>
      <c r="E112" s="31" t="s">
        <v>70</v>
      </c>
      <c r="F112" s="31" t="s">
        <v>87</v>
      </c>
      <c r="G112" s="31" t="s">
        <v>71</v>
      </c>
      <c r="H112" s="25"/>
      <c r="I112" s="26">
        <f t="shared" si="12"/>
        <v>1</v>
      </c>
      <c r="J112" s="26">
        <f t="shared" si="13"/>
        <v>0</v>
      </c>
      <c r="L112" s="26" t="str">
        <f t="shared" si="14"/>
        <v/>
      </c>
      <c r="M112" s="31" t="s">
        <v>78</v>
      </c>
      <c r="N112" s="31" t="s">
        <v>73</v>
      </c>
      <c r="O112" s="31" t="s">
        <v>125</v>
      </c>
      <c r="P112" s="31" t="s">
        <v>261</v>
      </c>
      <c r="Q112" s="27"/>
      <c r="R112" s="28"/>
    </row>
    <row r="113" spans="1:18" ht="27.75" customHeight="1">
      <c r="A113" s="22" t="s">
        <v>241</v>
      </c>
      <c r="B113" s="22" t="s">
        <v>262</v>
      </c>
      <c r="C113" s="23">
        <v>4</v>
      </c>
      <c r="D113" s="23" t="s">
        <v>69</v>
      </c>
      <c r="E113" s="24" t="s">
        <v>205</v>
      </c>
      <c r="F113" s="24" t="s">
        <v>165</v>
      </c>
      <c r="G113" s="24" t="s">
        <v>157</v>
      </c>
      <c r="H113" s="25"/>
      <c r="I113" s="26">
        <f t="shared" si="12"/>
        <v>0</v>
      </c>
      <c r="J113" s="26">
        <f t="shared" si="13"/>
        <v>0</v>
      </c>
      <c r="L113" s="26" t="str">
        <f t="shared" si="14"/>
        <v/>
      </c>
      <c r="M113" s="24" t="s">
        <v>72</v>
      </c>
      <c r="N113" s="24" t="s">
        <v>100</v>
      </c>
      <c r="O113" s="24" t="s">
        <v>112</v>
      </c>
      <c r="P113" s="24" t="s">
        <v>263</v>
      </c>
      <c r="Q113" s="27"/>
      <c r="R113" s="28"/>
    </row>
    <row r="114" spans="1:18" ht="27.75" customHeight="1">
      <c r="A114" s="29" t="s">
        <v>241</v>
      </c>
      <c r="B114" s="29" t="s">
        <v>264</v>
      </c>
      <c r="C114" s="30">
        <v>4</v>
      </c>
      <c r="D114" s="30" t="s">
        <v>92</v>
      </c>
      <c r="E114" s="31" t="s">
        <v>70</v>
      </c>
      <c r="F114" s="31" t="s">
        <v>87</v>
      </c>
      <c r="G114" s="31" t="s">
        <v>183</v>
      </c>
      <c r="H114" s="25"/>
      <c r="I114" s="26">
        <f t="shared" si="12"/>
        <v>1</v>
      </c>
      <c r="J114" s="26">
        <f t="shared" si="13"/>
        <v>0</v>
      </c>
      <c r="L114" s="26" t="str">
        <f t="shared" si="14"/>
        <v/>
      </c>
      <c r="M114" s="31" t="s">
        <v>78</v>
      </c>
      <c r="N114" s="31" t="s">
        <v>100</v>
      </c>
      <c r="O114" s="31" t="s">
        <v>125</v>
      </c>
      <c r="P114" s="31" t="s">
        <v>265</v>
      </c>
      <c r="Q114" s="27"/>
      <c r="R114" s="28"/>
    </row>
    <row r="115" spans="1:18" ht="27.75" customHeight="1">
      <c r="A115" s="22" t="s">
        <v>241</v>
      </c>
      <c r="B115" s="22" t="s">
        <v>266</v>
      </c>
      <c r="C115" s="23">
        <v>2</v>
      </c>
      <c r="D115" s="23" t="s">
        <v>92</v>
      </c>
      <c r="E115" s="24" t="s">
        <v>70</v>
      </c>
      <c r="F115" s="24" t="s">
        <v>71</v>
      </c>
      <c r="G115" s="24" t="s">
        <v>123</v>
      </c>
      <c r="H115" s="25"/>
      <c r="I115" s="26">
        <f t="shared" si="12"/>
        <v>1</v>
      </c>
      <c r="J115" s="26">
        <f t="shared" si="13"/>
        <v>0</v>
      </c>
      <c r="L115" s="26" t="str">
        <f t="shared" si="14"/>
        <v/>
      </c>
      <c r="M115" s="24" t="s">
        <v>239</v>
      </c>
      <c r="N115" s="24" t="s">
        <v>73</v>
      </c>
      <c r="O115" s="24" t="s">
        <v>125</v>
      </c>
      <c r="P115" s="24" t="s">
        <v>267</v>
      </c>
      <c r="Q115" s="27"/>
      <c r="R115" s="28"/>
    </row>
    <row r="116" spans="1:18" ht="14.25" customHeight="1"/>
    <row r="117" spans="1:18" ht="27.75" customHeight="1">
      <c r="A117" s="22" t="s">
        <v>67</v>
      </c>
      <c r="B117" s="22" t="s">
        <v>268</v>
      </c>
      <c r="C117" s="23">
        <v>5</v>
      </c>
      <c r="D117" s="23" t="s">
        <v>92</v>
      </c>
      <c r="E117" s="24" t="s">
        <v>70</v>
      </c>
      <c r="F117" s="24" t="s">
        <v>71</v>
      </c>
      <c r="G117" s="24" t="s">
        <v>87</v>
      </c>
      <c r="H117" s="25"/>
      <c r="I117" s="26">
        <f t="shared" ref="I117:I123" si="15">IF($E117="ALL",1,IF(ISNUMBER(LOOKUP($E117,$B$2)),1,0))</f>
        <v>1</v>
      </c>
      <c r="J117" s="26">
        <f t="shared" ref="J117:J123" si="16">IF(ISBLANK($H117),0,$C117*$H117*$I117)</f>
        <v>0</v>
      </c>
      <c r="K117" s="24" t="s">
        <v>269</v>
      </c>
      <c r="L117" s="26" t="str">
        <f t="shared" ref="L117:L123" si="17">IF(AND($D117="Y",$H117=0,$I117=1),"CRITICAL FAIL",IF($H117=-1,"EVIDENCE MISSING",""))</f>
        <v/>
      </c>
      <c r="M117" s="24" t="s">
        <v>78</v>
      </c>
      <c r="N117" s="24" t="s">
        <v>73</v>
      </c>
      <c r="O117" s="24" t="s">
        <v>74</v>
      </c>
      <c r="P117" s="24" t="s">
        <v>270</v>
      </c>
      <c r="Q117" s="27"/>
      <c r="R117" s="28"/>
    </row>
    <row r="118" spans="1:18" ht="27.75" customHeight="1">
      <c r="A118" s="29" t="s">
        <v>150</v>
      </c>
      <c r="B118" s="29" t="s">
        <v>271</v>
      </c>
      <c r="C118" s="30">
        <v>7</v>
      </c>
      <c r="D118" s="30" t="s">
        <v>69</v>
      </c>
      <c r="E118" s="31" t="s">
        <v>70</v>
      </c>
      <c r="F118" s="31" t="s">
        <v>157</v>
      </c>
      <c r="G118" s="31" t="s">
        <v>138</v>
      </c>
      <c r="H118" s="25"/>
      <c r="I118" s="26">
        <f t="shared" si="15"/>
        <v>1</v>
      </c>
      <c r="J118" s="26">
        <f t="shared" si="16"/>
        <v>0</v>
      </c>
      <c r="K118" s="31" t="s">
        <v>272</v>
      </c>
      <c r="L118" s="26" t="str">
        <f t="shared" si="17"/>
        <v>CRITICAL FAIL</v>
      </c>
      <c r="M118" s="31" t="s">
        <v>88</v>
      </c>
      <c r="N118" s="31" t="s">
        <v>73</v>
      </c>
      <c r="O118" s="31" t="s">
        <v>125</v>
      </c>
      <c r="P118" s="31" t="s">
        <v>273</v>
      </c>
      <c r="Q118" s="27"/>
      <c r="R118" s="28"/>
    </row>
    <row r="119" spans="1:18" ht="27.75" customHeight="1">
      <c r="A119" s="22" t="s">
        <v>150</v>
      </c>
      <c r="B119" s="22" t="s">
        <v>274</v>
      </c>
      <c r="C119" s="23">
        <v>4</v>
      </c>
      <c r="D119" s="23" t="s">
        <v>92</v>
      </c>
      <c r="E119" s="24" t="s">
        <v>275</v>
      </c>
      <c r="F119" s="24" t="s">
        <v>71</v>
      </c>
      <c r="G119" s="24" t="s">
        <v>138</v>
      </c>
      <c r="H119" s="25"/>
      <c r="I119" s="26">
        <f t="shared" si="15"/>
        <v>0</v>
      </c>
      <c r="J119" s="26">
        <f t="shared" si="16"/>
        <v>0</v>
      </c>
      <c r="K119" s="24" t="s">
        <v>276</v>
      </c>
      <c r="L119" s="26" t="str">
        <f t="shared" si="17"/>
        <v/>
      </c>
      <c r="M119" s="24" t="s">
        <v>93</v>
      </c>
      <c r="N119" s="24" t="s">
        <v>73</v>
      </c>
      <c r="O119" s="24" t="s">
        <v>125</v>
      </c>
      <c r="P119" s="24" t="s">
        <v>277</v>
      </c>
      <c r="Q119" s="27"/>
      <c r="R119" s="28"/>
    </row>
    <row r="120" spans="1:18" ht="27.75" customHeight="1">
      <c r="A120" s="29" t="s">
        <v>189</v>
      </c>
      <c r="B120" s="29" t="s">
        <v>278</v>
      </c>
      <c r="C120" s="30">
        <v>5</v>
      </c>
      <c r="D120" s="30" t="s">
        <v>92</v>
      </c>
      <c r="E120" s="31" t="s">
        <v>70</v>
      </c>
      <c r="F120" s="31" t="s">
        <v>87</v>
      </c>
      <c r="G120" s="31" t="s">
        <v>123</v>
      </c>
      <c r="H120" s="25"/>
      <c r="I120" s="26">
        <f t="shared" si="15"/>
        <v>1</v>
      </c>
      <c r="J120" s="26">
        <f t="shared" si="16"/>
        <v>0</v>
      </c>
      <c r="K120" s="31" t="s">
        <v>269</v>
      </c>
      <c r="L120" s="26" t="str">
        <f t="shared" si="17"/>
        <v/>
      </c>
      <c r="M120" s="31" t="s">
        <v>78</v>
      </c>
      <c r="N120" s="31" t="s">
        <v>100</v>
      </c>
      <c r="O120" s="31" t="s">
        <v>89</v>
      </c>
      <c r="P120" s="31" t="s">
        <v>279</v>
      </c>
      <c r="Q120" s="27"/>
      <c r="R120" s="28"/>
    </row>
    <row r="121" spans="1:18" ht="27.75" customHeight="1">
      <c r="A121" s="22" t="s">
        <v>280</v>
      </c>
      <c r="B121" s="22" t="s">
        <v>281</v>
      </c>
      <c r="C121" s="23">
        <v>3</v>
      </c>
      <c r="D121" s="23" t="s">
        <v>92</v>
      </c>
      <c r="E121" s="24" t="s">
        <v>282</v>
      </c>
      <c r="F121" s="24" t="s">
        <v>104</v>
      </c>
      <c r="G121" s="32"/>
      <c r="H121" s="25"/>
      <c r="I121" s="26">
        <f t="shared" si="15"/>
        <v>0</v>
      </c>
      <c r="J121" s="26">
        <f t="shared" si="16"/>
        <v>0</v>
      </c>
      <c r="K121" s="24" t="s">
        <v>283</v>
      </c>
      <c r="L121" s="26" t="str">
        <f t="shared" si="17"/>
        <v/>
      </c>
      <c r="M121" s="24" t="s">
        <v>93</v>
      </c>
      <c r="N121" s="24" t="s">
        <v>100</v>
      </c>
      <c r="O121" s="24" t="s">
        <v>101</v>
      </c>
      <c r="P121" s="24" t="s">
        <v>284</v>
      </c>
      <c r="Q121" s="27"/>
      <c r="R121" s="28"/>
    </row>
    <row r="122" spans="1:18" ht="27.75" customHeight="1">
      <c r="A122" s="29" t="s">
        <v>280</v>
      </c>
      <c r="B122" s="29" t="s">
        <v>285</v>
      </c>
      <c r="C122" s="30">
        <v>4</v>
      </c>
      <c r="D122" s="30" t="s">
        <v>92</v>
      </c>
      <c r="E122" s="31" t="s">
        <v>70</v>
      </c>
      <c r="F122" s="31" t="s">
        <v>71</v>
      </c>
      <c r="G122" s="31" t="s">
        <v>123</v>
      </c>
      <c r="H122" s="25"/>
      <c r="I122" s="26">
        <f t="shared" si="15"/>
        <v>1</v>
      </c>
      <c r="J122" s="26">
        <f t="shared" si="16"/>
        <v>0</v>
      </c>
      <c r="K122" s="31" t="s">
        <v>269</v>
      </c>
      <c r="L122" s="26" t="str">
        <f t="shared" si="17"/>
        <v/>
      </c>
      <c r="M122" s="31" t="s">
        <v>93</v>
      </c>
      <c r="N122" s="31" t="s">
        <v>73</v>
      </c>
      <c r="O122" s="31" t="s">
        <v>74</v>
      </c>
      <c r="P122" s="31" t="s">
        <v>286</v>
      </c>
      <c r="Q122" s="27"/>
      <c r="R122" s="28"/>
    </row>
    <row r="123" spans="1:18" ht="27.75" customHeight="1">
      <c r="A123" s="22" t="s">
        <v>280</v>
      </c>
      <c r="B123" s="22" t="s">
        <v>287</v>
      </c>
      <c r="C123" s="23">
        <v>3</v>
      </c>
      <c r="D123" s="23" t="s">
        <v>92</v>
      </c>
      <c r="E123" s="24" t="s">
        <v>70</v>
      </c>
      <c r="F123" s="24" t="s">
        <v>71</v>
      </c>
      <c r="G123" s="24" t="s">
        <v>115</v>
      </c>
      <c r="H123" s="25"/>
      <c r="I123" s="26">
        <f t="shared" si="15"/>
        <v>1</v>
      </c>
      <c r="J123" s="26">
        <f t="shared" si="16"/>
        <v>0</v>
      </c>
      <c r="K123" s="24" t="s">
        <v>269</v>
      </c>
      <c r="L123" s="26" t="str">
        <f t="shared" si="17"/>
        <v/>
      </c>
      <c r="M123" s="24" t="s">
        <v>93</v>
      </c>
      <c r="N123" s="24" t="s">
        <v>100</v>
      </c>
      <c r="O123" s="24" t="s">
        <v>101</v>
      </c>
      <c r="P123" s="24" t="s">
        <v>288</v>
      </c>
      <c r="Q123" s="27"/>
      <c r="R123" s="28"/>
    </row>
    <row r="124" spans="1:18" ht="14.25" customHeight="1"/>
    <row r="125" spans="1:18" ht="14.25" customHeight="1"/>
    <row r="126" spans="1:18" ht="14.25" customHeight="1"/>
    <row r="127" spans="1:18" ht="14.25" customHeight="1">
      <c r="A127" s="33" t="s">
        <v>289</v>
      </c>
      <c r="B127" s="33" t="s">
        <v>20</v>
      </c>
    </row>
    <row r="128" spans="1:18" ht="18" customHeight="1">
      <c r="A128" s="33" t="s">
        <v>290</v>
      </c>
      <c r="B128" s="33" t="str">
        <f>IF(SUMPRODUCT((D37:D123="Y")*(H37:H123=0)*(H37:H123&lt;&gt;"")*(I37:I123=1))&gt;0,"CRITICAL FAIL","PASS")</f>
        <v>PASS</v>
      </c>
    </row>
    <row r="129" spans="1:2" ht="18" customHeight="1">
      <c r="A129" s="12" t="s">
        <v>291</v>
      </c>
      <c r="B129" s="34">
        <f>SUMPRODUCT(IF((I37:I223=1)*(H37:H223&lt;&gt;""),C37:C223,0))</f>
        <v>0</v>
      </c>
    </row>
    <row r="130" spans="1:2" ht="18" customHeight="1">
      <c r="A130" s="12" t="s">
        <v>292</v>
      </c>
      <c r="B130" s="34">
        <f>SUMPRODUCT((I37:I223=1)*(H37:H223&lt;&gt;"")*IF(ISNUMBER(H37:H223),C37:C223*H37:H223,0))</f>
        <v>0</v>
      </c>
    </row>
    <row r="131" spans="1:2" ht="18" customHeight="1">
      <c r="A131" s="12" t="s">
        <v>293</v>
      </c>
      <c r="B131" s="34">
        <f>IFERROR(B130/B129,0)</f>
        <v>0</v>
      </c>
    </row>
    <row r="132" spans="1:2" ht="18" customHeight="1">
      <c r="A132" s="12" t="s">
        <v>294</v>
      </c>
      <c r="B132" s="34">
        <f>IF(B128="CRITICAL FAIL",MIN(B131,0.49),B131)</f>
        <v>0</v>
      </c>
    </row>
    <row r="133" spans="1:2" ht="18" customHeight="1">
      <c r="A133" s="12" t="s">
        <v>295</v>
      </c>
      <c r="B133" s="34">
        <f>COUNTIF(H37:H223,-1)</f>
        <v>0</v>
      </c>
    </row>
    <row r="134" spans="1:2" ht="18" customHeight="1">
      <c r="A134" s="12" t="s">
        <v>296</v>
      </c>
      <c r="B134" s="34" t="str">
        <f>IF(COUNTA(H37:H123)=0,"NOT STARTED",IF(COUNTBLANK(H37:H123)&gt;0,"INCOMPLETE REVIEW",IF(B128="CRITICAL FAIL","CRITICAL FAIL","PASS")))</f>
        <v>NOT STARTED</v>
      </c>
    </row>
    <row r="135" spans="1:2" ht="14.25" customHeight="1"/>
    <row r="136" spans="1:2" ht="18" customHeight="1">
      <c r="A136" s="33" t="s">
        <v>297</v>
      </c>
      <c r="B136" s="33">
        <f>Category_modules!B132</f>
        <v>0</v>
      </c>
    </row>
    <row r="137" spans="1:2" ht="18" customHeight="1">
      <c r="A137" s="12" t="s">
        <v>298</v>
      </c>
      <c r="B137" s="34">
        <f>Category_modules!B133</f>
        <v>0</v>
      </c>
    </row>
    <row r="138" spans="1:2" ht="18" customHeight="1">
      <c r="A138" s="12" t="s">
        <v>299</v>
      </c>
      <c r="B138" s="34">
        <f>Category_modules!B134</f>
        <v>57</v>
      </c>
    </row>
    <row r="139" spans="1:2" ht="18" customHeight="1">
      <c r="A139" s="12" t="s">
        <v>300</v>
      </c>
      <c r="B139" s="34">
        <f>Category_modules!B135</f>
        <v>0</v>
      </c>
    </row>
    <row r="140" spans="1:2" ht="18" customHeight="1">
      <c r="A140" s="12" t="s">
        <v>301</v>
      </c>
      <c r="B140" s="34">
        <f>Category_modules!B136</f>
        <v>0</v>
      </c>
    </row>
    <row r="141" spans="1:2" ht="18" customHeight="1">
      <c r="A141" s="12" t="s">
        <v>302</v>
      </c>
      <c r="B141" s="34">
        <f>Category_modules!B137</f>
        <v>0</v>
      </c>
    </row>
    <row r="142" spans="1:2" ht="14.25" customHeight="1"/>
    <row r="143" spans="1:2" ht="18" customHeight="1">
      <c r="A143" s="33" t="s">
        <v>303</v>
      </c>
      <c r="B143" s="33" t="str">
        <f>IF(OR(B128="CRITICAL FAIL",B136="CRITICAL FAIL"),"CRITICAL FAIL","PASS")</f>
        <v>PASS</v>
      </c>
    </row>
    <row r="144" spans="1:2" ht="18" customHeight="1">
      <c r="A144" s="12" t="s">
        <v>304</v>
      </c>
      <c r="B144" s="34">
        <f>IFERROR(B129+B137,B129)</f>
        <v>0</v>
      </c>
    </row>
    <row r="145" spans="1:2" ht="18" customHeight="1">
      <c r="A145" s="12" t="s">
        <v>305</v>
      </c>
      <c r="B145" s="34">
        <f>B130+B138</f>
        <v>57</v>
      </c>
    </row>
    <row r="146" spans="1:2" ht="18" customHeight="1">
      <c r="A146" s="12" t="s">
        <v>306</v>
      </c>
      <c r="B146" s="34">
        <f>IFERROR(B145/B144,0)</f>
        <v>0</v>
      </c>
    </row>
    <row r="147" spans="1:2" ht="18" customHeight="1">
      <c r="A147" s="12" t="s">
        <v>307</v>
      </c>
      <c r="B147" s="34">
        <f>IF(B143="CRITICAL FAIL",MIN(B146,0.49),B146)</f>
        <v>0</v>
      </c>
    </row>
    <row r="148" spans="1:2" ht="18" customHeight="1">
      <c r="A148" s="12" t="s">
        <v>308</v>
      </c>
      <c r="B148" s="34">
        <f>B133+B140</f>
        <v>0</v>
      </c>
    </row>
    <row r="149" spans="1:2" ht="18" customHeight="1">
      <c r="A149" s="12" t="s">
        <v>309</v>
      </c>
      <c r="B149" s="34" t="str">
        <f>IF(OR(B134="NOT STARTED",B141="NOT STARTED"),"NOT STARTED",IF(OR(B134="INCOMPLETE REVIEW",B141="INCOMPLETE REVIEW"),"INCOMPLETE REVIEW",IF(OR(B128="CRITICAL FAIL",B136="CRITICAL FAIL"),"CRITICAL FAIL","PASS")))</f>
        <v>NOT STARTED</v>
      </c>
    </row>
    <row r="150" spans="1:2" ht="14.25" customHeight="1"/>
    <row r="151" spans="1:2" ht="18" customHeight="1">
      <c r="A151" s="33" t="s">
        <v>310</v>
      </c>
      <c r="B151" s="33" t="str">
        <f>IF(B149="NOT STARTED","NOT STARTED",IF(B149="INCOMPLETE REVIEW","INCOMPLETE REVIEW",IF(OR(B128="CRITICAL FAIL",B136="CRITICAL FAIL"),"CRITICAL FAIL",IF(B147&gt;=0.8,"HIGH",IF(B147&gt;=0.6,"MEDIUM","LOW")))))</f>
        <v>NOT STARTED</v>
      </c>
    </row>
    <row r="152" spans="1:2" ht="18" customHeight="1">
      <c r="A152" s="35" t="s">
        <v>311</v>
      </c>
      <c r="B152" s="36">
        <f>IFERROR(COUNTIF(Q37:Q123,"Strong")/COUNTIF(Q37:Q123,"&lt;&gt;"),0)</f>
        <v>0</v>
      </c>
    </row>
    <row r="153" spans="1:2" ht="18" customHeight="1">
      <c r="A153" s="37" t="s">
        <v>312</v>
      </c>
      <c r="B153" s="38" t="str">
        <f>B8</f>
        <v/>
      </c>
    </row>
    <row r="154" spans="1:2" ht="18" customHeight="1">
      <c r="A154" s="37" t="s">
        <v>313</v>
      </c>
      <c r="B154" s="38">
        <f>B9</f>
        <v>0</v>
      </c>
    </row>
    <row r="155" spans="1:2" ht="18" customHeight="1">
      <c r="A155" s="39" t="s">
        <v>314</v>
      </c>
      <c r="B155" s="40" t="str">
        <f>B10</f>
        <v>Single</v>
      </c>
    </row>
    <row r="156" spans="1:2" ht="14.25" customHeight="1"/>
    <row r="157" spans="1:2" ht="21.75" customHeight="1"/>
    <row r="158" spans="1:2" ht="14.25" customHeight="1"/>
    <row r="159" spans="1:2" ht="23.25" customHeight="1"/>
    <row r="160" spans="1:2" ht="14.25" customHeight="1">
      <c r="B160" s="41" t="s">
        <v>315</v>
      </c>
    </row>
    <row r="161" spans="2:7" ht="14.25" customHeight="1">
      <c r="B161" s="42" t="s">
        <v>316</v>
      </c>
      <c r="C161" t="s">
        <v>317</v>
      </c>
      <c r="D161" t="s">
        <v>318</v>
      </c>
      <c r="E161" t="s">
        <v>319</v>
      </c>
      <c r="F161" t="s">
        <v>320</v>
      </c>
      <c r="G161" t="s">
        <v>321</v>
      </c>
    </row>
    <row r="162" spans="2:7" ht="14.25" customHeight="1">
      <c r="B162" s="42"/>
    </row>
    <row r="163" spans="2:7" ht="23.25" customHeight="1">
      <c r="B163" s="43" t="s">
        <v>322</v>
      </c>
    </row>
    <row r="164" spans="2:7" ht="14.25" customHeight="1"/>
    <row r="165" spans="2:7" ht="14.25" customHeight="1">
      <c r="B165" t="s">
        <v>323</v>
      </c>
    </row>
    <row r="166" spans="2:7" ht="14.25" customHeight="1"/>
    <row r="167" spans="2:7" ht="14.25" customHeight="1">
      <c r="B167" s="44" t="s">
        <v>324</v>
      </c>
    </row>
    <row r="168" spans="2:7" ht="14.25" customHeight="1"/>
    <row r="169" spans="2:7" ht="21.75" customHeight="1">
      <c r="B169" t="s">
        <v>325</v>
      </c>
    </row>
    <row r="170" spans="2:7" ht="14.25" customHeight="1">
      <c r="B170" s="45"/>
    </row>
    <row r="171" spans="2:7" ht="14.25" customHeight="1">
      <c r="B171" s="45" t="s">
        <v>326</v>
      </c>
    </row>
    <row r="172" spans="2:7" ht="14.25" customHeight="1">
      <c r="B172" s="45"/>
    </row>
    <row r="173" spans="2:7" ht="21.75" customHeight="1">
      <c r="B173" s="45" t="s">
        <v>327</v>
      </c>
    </row>
    <row r="174" spans="2:7" ht="14.25" customHeight="1">
      <c r="B174" s="45"/>
    </row>
    <row r="175" spans="2:7" ht="23.25" customHeight="1">
      <c r="B175" s="45" t="s">
        <v>328</v>
      </c>
    </row>
    <row r="176" spans="2:7" ht="14.25" customHeight="1">
      <c r="B176" s="45"/>
    </row>
    <row r="177" spans="2:2" ht="14.25" customHeight="1">
      <c r="B177" s="45" t="s">
        <v>329</v>
      </c>
    </row>
    <row r="178" spans="2:2" ht="14.25" customHeight="1"/>
    <row r="179" spans="2:2" ht="14.25" customHeight="1">
      <c r="B179" s="44" t="s">
        <v>330</v>
      </c>
    </row>
    <row r="180" spans="2:2" ht="14.25" customHeight="1"/>
    <row r="181" spans="2:2" ht="23.25" customHeight="1">
      <c r="B181" s="46" t="s">
        <v>331</v>
      </c>
    </row>
    <row r="182" spans="2:2" ht="14.25" customHeight="1"/>
    <row r="183" spans="2:2" ht="14.25" customHeight="1">
      <c r="B183" s="44" t="s">
        <v>332</v>
      </c>
    </row>
    <row r="184" spans="2:2" ht="14.25" customHeight="1"/>
    <row r="185" spans="2:2" ht="21.75" customHeight="1">
      <c r="B185" t="s">
        <v>333</v>
      </c>
    </row>
    <row r="186" spans="2:2" ht="14.25" customHeight="1">
      <c r="B186" s="45"/>
    </row>
    <row r="187" spans="2:2" ht="14.25" customHeight="1">
      <c r="B187" s="45" t="s">
        <v>334</v>
      </c>
    </row>
    <row r="188" spans="2:2" ht="14.25" customHeight="1">
      <c r="B188" s="45"/>
    </row>
    <row r="189" spans="2:2" ht="14.25" customHeight="1">
      <c r="B189" s="45" t="s">
        <v>335</v>
      </c>
    </row>
    <row r="190" spans="2:2" ht="14.25" customHeight="1">
      <c r="B190" s="45"/>
    </row>
    <row r="191" spans="2:2" ht="21.75" customHeight="1">
      <c r="B191" s="45" t="s">
        <v>336</v>
      </c>
    </row>
    <row r="192" spans="2:2" ht="14.25" customHeight="1">
      <c r="B192" s="45"/>
    </row>
    <row r="193" spans="2:2" ht="14.25" customHeight="1">
      <c r="B193" s="45" t="s">
        <v>337</v>
      </c>
    </row>
    <row r="194" spans="2:2" ht="14.25" customHeight="1"/>
    <row r="195" spans="2:2" ht="14.25" customHeight="1">
      <c r="B195" s="44" t="s">
        <v>338</v>
      </c>
    </row>
    <row r="196" spans="2:2" ht="14.25" customHeight="1"/>
    <row r="197" spans="2:2" ht="14.25" customHeight="1">
      <c r="B197" t="s">
        <v>339</v>
      </c>
    </row>
    <row r="198" spans="2:2" ht="14.25" customHeight="1">
      <c r="B198" s="45"/>
    </row>
    <row r="199" spans="2:2" ht="14.25" customHeight="1">
      <c r="B199" s="45" t="s">
        <v>340</v>
      </c>
    </row>
    <row r="200" spans="2:2" ht="14.25" customHeight="1"/>
    <row r="201" spans="2:2" ht="14.25" customHeight="1">
      <c r="B201" s="44" t="s">
        <v>341</v>
      </c>
    </row>
    <row r="202" spans="2:2" ht="14.25" customHeight="1"/>
    <row r="203" spans="2:2" ht="14.25" customHeight="1">
      <c r="B203" t="s">
        <v>342</v>
      </c>
    </row>
    <row r="204" spans="2:2" ht="14.25" customHeight="1">
      <c r="B204" s="45"/>
    </row>
    <row r="205" spans="2:2" ht="14.25" customHeight="1">
      <c r="B205" s="45" t="s">
        <v>343</v>
      </c>
    </row>
    <row r="206" spans="2:2" ht="14.25" customHeight="1">
      <c r="B206" s="45"/>
    </row>
    <row r="207" spans="2:2" ht="14.25" customHeight="1">
      <c r="B207" s="45" t="s">
        <v>344</v>
      </c>
    </row>
    <row r="208" spans="2:2" ht="14.25" customHeight="1">
      <c r="B208" s="45"/>
    </row>
    <row r="209" spans="2:2" ht="14.25" customHeight="1">
      <c r="B209" s="45" t="s">
        <v>345</v>
      </c>
    </row>
    <row r="210" spans="2:2" ht="14.25" customHeight="1">
      <c r="B210" s="45"/>
    </row>
    <row r="211" spans="2:2" ht="14.25" customHeight="1">
      <c r="B211" s="45" t="s">
        <v>346</v>
      </c>
    </row>
    <row r="212" spans="2:2" ht="14.25" customHeight="1">
      <c r="B212" s="45"/>
    </row>
    <row r="213" spans="2:2" ht="14.25" customHeight="1">
      <c r="B213" s="45" t="s">
        <v>347</v>
      </c>
    </row>
    <row r="214" spans="2:2" ht="14.25" customHeight="1"/>
    <row r="215" spans="2:2" ht="14.25" customHeight="1">
      <c r="B215" s="42" t="s">
        <v>348</v>
      </c>
    </row>
    <row r="216" spans="2:2" ht="14.25" customHeight="1"/>
    <row r="217" spans="2:2" ht="14.25" customHeight="1"/>
    <row r="218" spans="2:2" ht="14.25" customHeight="1"/>
    <row r="219" spans="2:2" ht="14.25" customHeight="1"/>
    <row r="220" spans="2:2" ht="14.25" customHeight="1"/>
    <row r="221" spans="2:2" ht="14.25" customHeight="1"/>
    <row r="222" spans="2:2" ht="14.25" customHeight="1"/>
    <row r="223" spans="2:2" ht="14.25" customHeight="1"/>
    <row r="224" spans="2:2"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row r="1088" ht="14.25" customHeight="1"/>
    <row r="1089" ht="14.25" customHeight="1"/>
    <row r="1090" ht="14.25" customHeight="1"/>
    <row r="1091" ht="14.25" customHeight="1"/>
    <row r="1092" ht="14.25" customHeight="1"/>
    <row r="1093" ht="14.25" customHeight="1"/>
    <row r="1094" ht="14.25" customHeight="1"/>
    <row r="1095" ht="14.25" customHeight="1"/>
    <row r="1096" ht="14.25" customHeight="1"/>
    <row r="1097" ht="14.25" customHeight="1"/>
    <row r="1098" ht="14.25" customHeight="1"/>
    <row r="1099" ht="14.25" customHeight="1"/>
    <row r="1100" ht="14.25" customHeight="1"/>
    <row r="1101" ht="14.25" customHeight="1"/>
    <row r="1102" ht="14.25" customHeight="1"/>
    <row r="1103" ht="14.25" customHeight="1"/>
    <row r="1104" ht="14.25" customHeight="1"/>
    <row r="1105" ht="14.25" customHeight="1"/>
    <row r="1106" ht="14.25" customHeight="1"/>
    <row r="1107" ht="14.25" customHeight="1"/>
    <row r="1108" ht="14.25" customHeight="1"/>
    <row r="1109" ht="14.25" customHeight="1"/>
    <row r="1110" ht="14.25" customHeight="1"/>
    <row r="1111" ht="14.25" customHeight="1"/>
    <row r="1112" ht="14.25" customHeight="1"/>
    <row r="1113" ht="14.25" customHeight="1"/>
    <row r="1114" ht="14.25" customHeight="1"/>
    <row r="1115" ht="14.25" customHeight="1"/>
    <row r="1116" ht="14.25" customHeight="1"/>
    <row r="1117" ht="14.25" customHeight="1"/>
    <row r="1118" ht="14.25" customHeight="1"/>
    <row r="1119" ht="14.25" customHeight="1"/>
    <row r="1120" ht="14.25" customHeight="1"/>
    <row r="1121" ht="14.25" customHeight="1"/>
    <row r="1122" ht="14.25" customHeight="1"/>
    <row r="1123" ht="14.25" customHeight="1"/>
    <row r="1124" ht="14.25" customHeight="1"/>
    <row r="1125" ht="14.25" customHeight="1"/>
    <row r="1126" ht="14.25" customHeight="1"/>
    <row r="1127" ht="14.25" customHeight="1"/>
    <row r="1128" ht="14.25" customHeight="1"/>
    <row r="1129" ht="14.25" customHeight="1"/>
    <row r="1130" ht="14.25" customHeight="1"/>
    <row r="1131" ht="14.25" customHeight="1"/>
    <row r="1132" ht="14.25" customHeight="1"/>
    <row r="1133" ht="14.25" customHeight="1"/>
    <row r="1134" ht="14.25" customHeight="1"/>
    <row r="1135" ht="14.25" customHeight="1"/>
    <row r="1136" ht="14.25" customHeight="1"/>
    <row r="1137" ht="14.25" customHeight="1"/>
    <row r="1138" ht="14.25" customHeight="1"/>
    <row r="1139" ht="14.25" customHeight="1"/>
    <row r="1140" ht="14.25" customHeight="1"/>
    <row r="1141" ht="14.25" customHeight="1"/>
    <row r="1142" ht="14.25" customHeight="1"/>
    <row r="1143" ht="14.25" customHeight="1"/>
    <row r="1144" ht="14.25" customHeight="1"/>
    <row r="1145" ht="14.25" customHeight="1"/>
    <row r="1146" ht="14.25" customHeight="1"/>
    <row r="1147" ht="14.25" customHeight="1"/>
    <row r="1148" ht="14.25" customHeight="1"/>
    <row r="1149" ht="14.25" customHeight="1"/>
    <row r="1150" ht="14.25" customHeight="1"/>
    <row r="1151" ht="14.25" customHeight="1"/>
    <row r="1152" ht="14.25" customHeight="1"/>
    <row r="1153" ht="14.25" customHeight="1"/>
    <row r="1154" ht="14.25" customHeight="1"/>
    <row r="1155" ht="14.25" customHeight="1"/>
    <row r="1156" ht="14.25" customHeight="1"/>
    <row r="1157" ht="14.25" customHeight="1"/>
    <row r="1158" ht="14.25" customHeight="1"/>
    <row r="1159" ht="14.25" customHeight="1"/>
    <row r="1160" ht="14.25" customHeight="1"/>
    <row r="1161" ht="14.25" customHeight="1"/>
    <row r="1162" ht="14.25" customHeight="1"/>
    <row r="1163" ht="14.25" customHeight="1"/>
    <row r="1164" ht="14.25" customHeight="1"/>
    <row r="1165" ht="14.25" customHeight="1"/>
    <row r="1166" ht="14.25" customHeight="1"/>
    <row r="1167" ht="14.25" customHeight="1"/>
    <row r="1168" ht="14.25" customHeight="1"/>
    <row r="1169" ht="14.25" customHeight="1"/>
    <row r="1170" ht="14.25" customHeight="1"/>
    <row r="1171" ht="14.25" customHeight="1"/>
    <row r="1172" ht="14.25" customHeight="1"/>
    <row r="1173" ht="14.25" customHeight="1"/>
    <row r="1174" ht="14.25" customHeight="1"/>
    <row r="1175" ht="14.25" customHeight="1"/>
    <row r="1176" ht="14.25" customHeight="1"/>
    <row r="1177" ht="14.25" customHeight="1"/>
    <row r="1178" ht="14.25" customHeight="1"/>
    <row r="1179" ht="14.25" customHeight="1"/>
    <row r="1180" ht="14.25" customHeight="1"/>
    <row r="1181" ht="14.25" customHeight="1"/>
    <row r="1182" ht="14.25" customHeight="1"/>
    <row r="1183" ht="14.25" customHeight="1"/>
    <row r="1184" ht="14.25" customHeight="1"/>
    <row r="1185" ht="14.25" customHeight="1"/>
    <row r="1186" ht="14.25" customHeight="1"/>
    <row r="1187" ht="14.25" customHeight="1"/>
    <row r="1188" ht="14.25" customHeight="1"/>
    <row r="1189" ht="14.25" customHeight="1"/>
    <row r="1190" ht="14.25" customHeight="1"/>
    <row r="1191" ht="14.25" customHeight="1"/>
    <row r="1192" ht="14.25" customHeight="1"/>
    <row r="1193" ht="14.25" customHeight="1"/>
    <row r="1194" ht="14.25" customHeight="1"/>
    <row r="1195" ht="14.25" customHeight="1"/>
    <row r="1196" ht="14.25" customHeight="1"/>
    <row r="1197" ht="14.25" customHeight="1"/>
    <row r="1198" ht="14.25" customHeight="1"/>
    <row r="1199" ht="14.25" customHeight="1"/>
    <row r="1200" ht="14.25" customHeight="1"/>
    <row r="1201" ht="14.25" customHeight="1"/>
    <row r="1202" ht="14.25" customHeight="1"/>
    <row r="1203" ht="14.25" customHeight="1"/>
    <row r="1204" ht="14.25" customHeight="1"/>
    <row r="1205" ht="14.25" customHeight="1"/>
  </sheetData>
  <dataValidations count="4">
    <dataValidation type="list" allowBlank="1" showInputMessage="1" showErrorMessage="1" sqref="M1:M10 M27:M1205" xr:uid="{00000000-0002-0000-0000-000000000000}">
      <formula1>Severity_List</formula1>
      <formula2>0</formula2>
    </dataValidation>
    <dataValidation type="list" allowBlank="1" showInputMessage="1" showErrorMessage="1" sqref="O1:O6 O27:O1205" xr:uid="{00000000-0002-0000-0000-000001000000}">
      <formula1>FailureType_List</formula1>
      <formula2>0</formula2>
    </dataValidation>
    <dataValidation type="list" allowBlank="1" showInputMessage="1" showErrorMessage="1" sqref="E27:E1205" xr:uid="{00000000-0002-0000-0000-000002000000}">
      <formula1>AppliesTo_list</formula1>
      <formula2>0</formula2>
    </dataValidation>
    <dataValidation type="list" allowBlank="1" showInputMessage="1" showErrorMessage="1" sqref="F27:G1205" xr:uid="{00000000-0002-0000-0000-000003000000}">
      <formula1>Evidence_list</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38"/>
  <sheetViews>
    <sheetView topLeftCell="A97" zoomScale="85" zoomScaleNormal="85" workbookViewId="0">
      <selection activeCell="C58" sqref="C58"/>
    </sheetView>
  </sheetViews>
  <sheetFormatPr defaultColWidth="8.6640625" defaultRowHeight="14.4"/>
  <cols>
    <col min="1" max="1" width="26.33203125" customWidth="1"/>
    <col min="2" max="2" width="8.88671875" customWidth="1"/>
    <col min="3" max="3" width="96.5546875" customWidth="1"/>
    <col min="6" max="6" width="13.33203125" customWidth="1"/>
    <col min="12" max="12" width="14.6640625" customWidth="1"/>
    <col min="13" max="13" width="17.77734375" customWidth="1"/>
    <col min="14" max="14" width="17.21875" customWidth="1"/>
    <col min="15" max="15" width="18.88671875" customWidth="1"/>
    <col min="16" max="19" width="20" customWidth="1"/>
  </cols>
  <sheetData>
    <row r="1" spans="1:19" ht="14.25" customHeight="1">
      <c r="A1" t="s">
        <v>349</v>
      </c>
      <c r="B1">
        <f>Engine_review_score!B2</f>
        <v>0</v>
      </c>
    </row>
    <row r="4" spans="1:19" ht="14.25" customHeight="1">
      <c r="A4" t="s">
        <v>350</v>
      </c>
      <c r="B4" t="s">
        <v>53</v>
      </c>
      <c r="C4" t="s">
        <v>50</v>
      </c>
      <c r="D4" t="s">
        <v>51</v>
      </c>
      <c r="E4" t="s">
        <v>351</v>
      </c>
      <c r="F4" t="s">
        <v>352</v>
      </c>
      <c r="G4" t="s">
        <v>353</v>
      </c>
      <c r="H4" t="s">
        <v>354</v>
      </c>
      <c r="I4" t="s">
        <v>58</v>
      </c>
      <c r="J4" t="s">
        <v>59</v>
      </c>
      <c r="K4" t="s">
        <v>60</v>
      </c>
      <c r="L4" t="s">
        <v>61</v>
      </c>
      <c r="M4" s="5" t="s">
        <v>62</v>
      </c>
      <c r="N4" s="5" t="s">
        <v>63</v>
      </c>
      <c r="O4" s="5" t="s">
        <v>64</v>
      </c>
      <c r="P4" s="16" t="s">
        <v>65</v>
      </c>
      <c r="Q4" s="17" t="s">
        <v>15</v>
      </c>
      <c r="R4" s="19" t="s">
        <v>9</v>
      </c>
      <c r="S4" s="19" t="s">
        <v>11</v>
      </c>
    </row>
    <row r="5" spans="1:19" ht="14.25" customHeight="1">
      <c r="A5" t="s">
        <v>355</v>
      </c>
      <c r="B5" t="s">
        <v>356</v>
      </c>
      <c r="C5" t="s">
        <v>357</v>
      </c>
      <c r="D5">
        <v>8</v>
      </c>
      <c r="E5" t="s">
        <v>69</v>
      </c>
      <c r="F5" t="s">
        <v>358</v>
      </c>
      <c r="H5">
        <f t="shared" ref="H5:H14" si="0">IF($B5=$B$1,1,0)</f>
        <v>0</v>
      </c>
      <c r="I5">
        <f t="shared" ref="I5:I14" si="1">IF(ISBLANK($G5),0,$D5*$G5*$H5)</f>
        <v>0</v>
      </c>
      <c r="K5" t="str">
        <f t="shared" ref="K5:K50" si="2">IF(AND($E5="Y",$G5=0,$H5=1),"CRITICAL FAIL",IF($G5=-1,"EVIDENCE MISSING",""))</f>
        <v/>
      </c>
      <c r="L5" t="s">
        <v>72</v>
      </c>
      <c r="M5" t="s">
        <v>73</v>
      </c>
      <c r="N5" t="s">
        <v>74</v>
      </c>
      <c r="O5" t="s">
        <v>359</v>
      </c>
    </row>
    <row r="6" spans="1:19" ht="14.25" customHeight="1">
      <c r="A6" t="s">
        <v>355</v>
      </c>
      <c r="B6" t="s">
        <v>356</v>
      </c>
      <c r="C6" t="s">
        <v>360</v>
      </c>
      <c r="D6">
        <v>6</v>
      </c>
      <c r="E6" t="s">
        <v>92</v>
      </c>
      <c r="F6" t="s">
        <v>361</v>
      </c>
      <c r="H6">
        <f t="shared" si="0"/>
        <v>0</v>
      </c>
      <c r="I6">
        <f t="shared" si="1"/>
        <v>0</v>
      </c>
      <c r="K6" t="str">
        <f t="shared" si="2"/>
        <v/>
      </c>
      <c r="L6" t="s">
        <v>78</v>
      </c>
      <c r="M6" t="s">
        <v>73</v>
      </c>
      <c r="N6" t="s">
        <v>125</v>
      </c>
      <c r="O6" t="s">
        <v>362</v>
      </c>
    </row>
    <row r="7" spans="1:19" ht="14.25" customHeight="1">
      <c r="A7" t="s">
        <v>355</v>
      </c>
      <c r="B7" t="s">
        <v>356</v>
      </c>
      <c r="C7" t="s">
        <v>363</v>
      </c>
      <c r="D7">
        <v>9</v>
      </c>
      <c r="E7" t="s">
        <v>69</v>
      </c>
      <c r="F7" t="s">
        <v>99</v>
      </c>
      <c r="H7">
        <f t="shared" si="0"/>
        <v>0</v>
      </c>
      <c r="I7">
        <f t="shared" si="1"/>
        <v>0</v>
      </c>
      <c r="K7" t="str">
        <f t="shared" si="2"/>
        <v/>
      </c>
      <c r="L7" t="s">
        <v>88</v>
      </c>
      <c r="M7" t="s">
        <v>100</v>
      </c>
      <c r="N7" t="s">
        <v>89</v>
      </c>
      <c r="O7" t="s">
        <v>364</v>
      </c>
    </row>
    <row r="8" spans="1:19" ht="14.25" customHeight="1">
      <c r="A8" t="s">
        <v>355</v>
      </c>
      <c r="B8" t="s">
        <v>356</v>
      </c>
      <c r="C8" t="s">
        <v>365</v>
      </c>
      <c r="D8">
        <v>10</v>
      </c>
      <c r="E8" t="s">
        <v>69</v>
      </c>
      <c r="F8" t="s">
        <v>99</v>
      </c>
      <c r="H8">
        <f t="shared" si="0"/>
        <v>0</v>
      </c>
      <c r="I8">
        <f t="shared" si="1"/>
        <v>0</v>
      </c>
      <c r="K8" t="str">
        <f t="shared" si="2"/>
        <v/>
      </c>
      <c r="L8" t="s">
        <v>88</v>
      </c>
      <c r="M8" t="s">
        <v>100</v>
      </c>
      <c r="N8" t="s">
        <v>89</v>
      </c>
      <c r="O8" t="s">
        <v>366</v>
      </c>
    </row>
    <row r="9" spans="1:19" ht="14.25" customHeight="1">
      <c r="A9" t="s">
        <v>355</v>
      </c>
      <c r="B9" t="s">
        <v>356</v>
      </c>
      <c r="C9" t="s">
        <v>367</v>
      </c>
      <c r="D9">
        <v>10</v>
      </c>
      <c r="E9" t="s">
        <v>69</v>
      </c>
      <c r="F9" t="s">
        <v>99</v>
      </c>
      <c r="H9">
        <f t="shared" si="0"/>
        <v>0</v>
      </c>
      <c r="I9">
        <f t="shared" si="1"/>
        <v>0</v>
      </c>
      <c r="K9" t="str">
        <f t="shared" si="2"/>
        <v/>
      </c>
      <c r="L9" t="s">
        <v>88</v>
      </c>
      <c r="M9" t="s">
        <v>100</v>
      </c>
      <c r="N9" t="s">
        <v>89</v>
      </c>
      <c r="O9" t="s">
        <v>368</v>
      </c>
    </row>
    <row r="10" spans="1:19" ht="14.25" customHeight="1">
      <c r="A10" t="s">
        <v>355</v>
      </c>
      <c r="B10" t="s">
        <v>356</v>
      </c>
      <c r="C10" t="s">
        <v>369</v>
      </c>
      <c r="D10">
        <v>5</v>
      </c>
      <c r="E10" t="s">
        <v>92</v>
      </c>
      <c r="F10" t="s">
        <v>361</v>
      </c>
      <c r="H10">
        <f t="shared" si="0"/>
        <v>0</v>
      </c>
      <c r="I10">
        <f t="shared" si="1"/>
        <v>0</v>
      </c>
      <c r="K10" t="str">
        <f t="shared" si="2"/>
        <v/>
      </c>
      <c r="L10" t="s">
        <v>78</v>
      </c>
      <c r="M10" t="s">
        <v>73</v>
      </c>
      <c r="N10" t="s">
        <v>125</v>
      </c>
      <c r="O10" t="s">
        <v>370</v>
      </c>
    </row>
    <row r="11" spans="1:19" ht="14.25" customHeight="1">
      <c r="A11" t="s">
        <v>355</v>
      </c>
      <c r="B11" t="s">
        <v>356</v>
      </c>
      <c r="C11" t="s">
        <v>371</v>
      </c>
      <c r="D11">
        <v>7</v>
      </c>
      <c r="E11" t="s">
        <v>92</v>
      </c>
      <c r="F11" t="s">
        <v>372</v>
      </c>
      <c r="H11">
        <f t="shared" si="0"/>
        <v>0</v>
      </c>
      <c r="I11">
        <f t="shared" si="1"/>
        <v>0</v>
      </c>
      <c r="K11" t="str">
        <f t="shared" si="2"/>
        <v/>
      </c>
      <c r="L11" t="s">
        <v>78</v>
      </c>
      <c r="M11" t="s">
        <v>73</v>
      </c>
      <c r="N11" t="s">
        <v>125</v>
      </c>
      <c r="O11" t="s">
        <v>373</v>
      </c>
    </row>
    <row r="12" spans="1:19" ht="14.25" customHeight="1">
      <c r="A12" t="s">
        <v>355</v>
      </c>
      <c r="B12" t="s">
        <v>356</v>
      </c>
      <c r="C12" t="s">
        <v>374</v>
      </c>
      <c r="D12">
        <v>4</v>
      </c>
      <c r="E12" t="s">
        <v>92</v>
      </c>
      <c r="F12" t="s">
        <v>361</v>
      </c>
      <c r="H12">
        <f t="shared" si="0"/>
        <v>0</v>
      </c>
      <c r="I12">
        <f t="shared" si="1"/>
        <v>0</v>
      </c>
      <c r="K12" t="str">
        <f t="shared" si="2"/>
        <v/>
      </c>
      <c r="L12" t="s">
        <v>93</v>
      </c>
      <c r="M12" t="s">
        <v>73</v>
      </c>
      <c r="N12" t="s">
        <v>125</v>
      </c>
      <c r="O12" t="s">
        <v>375</v>
      </c>
    </row>
    <row r="13" spans="1:19" ht="14.25" customHeight="1">
      <c r="A13" t="s">
        <v>355</v>
      </c>
      <c r="B13" t="s">
        <v>356</v>
      </c>
      <c r="C13" t="s">
        <v>376</v>
      </c>
      <c r="D13">
        <v>4</v>
      </c>
      <c r="E13" t="s">
        <v>92</v>
      </c>
      <c r="F13" t="s">
        <v>377</v>
      </c>
      <c r="H13">
        <f t="shared" si="0"/>
        <v>0</v>
      </c>
      <c r="I13">
        <f t="shared" si="1"/>
        <v>0</v>
      </c>
      <c r="K13" t="str">
        <f t="shared" si="2"/>
        <v/>
      </c>
      <c r="L13" t="s">
        <v>93</v>
      </c>
      <c r="M13" t="s">
        <v>100</v>
      </c>
      <c r="N13" t="s">
        <v>112</v>
      </c>
      <c r="O13" t="s">
        <v>378</v>
      </c>
    </row>
    <row r="14" spans="1:19" ht="14.25" customHeight="1">
      <c r="A14" t="s">
        <v>355</v>
      </c>
      <c r="B14" t="s">
        <v>356</v>
      </c>
      <c r="C14" s="47" t="s">
        <v>379</v>
      </c>
      <c r="D14" s="47">
        <v>7</v>
      </c>
      <c r="E14" s="48" t="s">
        <v>69</v>
      </c>
      <c r="F14" t="s">
        <v>377</v>
      </c>
      <c r="H14">
        <f t="shared" si="0"/>
        <v>0</v>
      </c>
      <c r="I14">
        <f t="shared" si="1"/>
        <v>0</v>
      </c>
      <c r="K14" t="str">
        <f t="shared" si="2"/>
        <v/>
      </c>
      <c r="L14" t="s">
        <v>72</v>
      </c>
      <c r="M14" t="s">
        <v>100</v>
      </c>
      <c r="N14" t="s">
        <v>89</v>
      </c>
      <c r="O14" t="s">
        <v>380</v>
      </c>
    </row>
    <row r="15" spans="1:19" ht="14.25" customHeight="1">
      <c r="K15" t="str">
        <f t="shared" si="2"/>
        <v/>
      </c>
    </row>
    <row r="16" spans="1:19" ht="14.25" customHeight="1">
      <c r="A16" t="s">
        <v>381</v>
      </c>
      <c r="B16" t="s">
        <v>382</v>
      </c>
      <c r="C16" t="s">
        <v>383</v>
      </c>
      <c r="D16">
        <v>8</v>
      </c>
      <c r="E16" t="s">
        <v>69</v>
      </c>
      <c r="F16" t="s">
        <v>358</v>
      </c>
      <c r="H16">
        <f t="shared" ref="H16:H24" si="3">IF($B16=$B$1,1,0)</f>
        <v>0</v>
      </c>
      <c r="I16">
        <f t="shared" ref="I16:I24" si="4">IF(ISBLANK($G16),0,$D16*$G16*$H16)</f>
        <v>0</v>
      </c>
      <c r="K16" t="str">
        <f t="shared" si="2"/>
        <v/>
      </c>
      <c r="L16" t="s">
        <v>72</v>
      </c>
      <c r="M16" t="s">
        <v>73</v>
      </c>
      <c r="N16" t="s">
        <v>74</v>
      </c>
      <c r="O16" t="s">
        <v>384</v>
      </c>
    </row>
    <row r="17" spans="1:15" ht="14.25" customHeight="1">
      <c r="A17" t="s">
        <v>381</v>
      </c>
      <c r="B17" t="s">
        <v>382</v>
      </c>
      <c r="C17" t="s">
        <v>385</v>
      </c>
      <c r="D17" s="48">
        <v>6</v>
      </c>
      <c r="E17" s="48" t="s">
        <v>69</v>
      </c>
      <c r="F17" t="s">
        <v>361</v>
      </c>
      <c r="H17">
        <f t="shared" si="3"/>
        <v>0</v>
      </c>
      <c r="I17">
        <f t="shared" si="4"/>
        <v>0</v>
      </c>
      <c r="K17" t="str">
        <f t="shared" si="2"/>
        <v/>
      </c>
      <c r="L17" t="s">
        <v>78</v>
      </c>
      <c r="M17" t="s">
        <v>73</v>
      </c>
      <c r="N17" t="s">
        <v>125</v>
      </c>
      <c r="O17" t="s">
        <v>386</v>
      </c>
    </row>
    <row r="18" spans="1:15" ht="14.25" customHeight="1">
      <c r="A18" t="s">
        <v>381</v>
      </c>
      <c r="B18" t="s">
        <v>382</v>
      </c>
      <c r="C18" t="s">
        <v>387</v>
      </c>
      <c r="D18">
        <v>8</v>
      </c>
      <c r="E18" t="s">
        <v>69</v>
      </c>
      <c r="F18" t="s">
        <v>388</v>
      </c>
      <c r="H18">
        <f t="shared" si="3"/>
        <v>0</v>
      </c>
      <c r="I18">
        <f t="shared" si="4"/>
        <v>0</v>
      </c>
      <c r="K18" t="str">
        <f t="shared" si="2"/>
        <v/>
      </c>
      <c r="L18" t="s">
        <v>88</v>
      </c>
      <c r="M18" t="s">
        <v>100</v>
      </c>
      <c r="N18" t="s">
        <v>125</v>
      </c>
      <c r="O18" t="s">
        <v>389</v>
      </c>
    </row>
    <row r="19" spans="1:15" ht="14.25" customHeight="1">
      <c r="A19" t="s">
        <v>381</v>
      </c>
      <c r="B19" t="s">
        <v>382</v>
      </c>
      <c r="C19" t="s">
        <v>390</v>
      </c>
      <c r="D19">
        <v>9</v>
      </c>
      <c r="E19" t="s">
        <v>69</v>
      </c>
      <c r="F19" t="s">
        <v>391</v>
      </c>
      <c r="H19">
        <f t="shared" si="3"/>
        <v>0</v>
      </c>
      <c r="I19">
        <f t="shared" si="4"/>
        <v>0</v>
      </c>
      <c r="K19" t="str">
        <f t="shared" si="2"/>
        <v/>
      </c>
      <c r="L19" t="s">
        <v>72</v>
      </c>
      <c r="M19" t="s">
        <v>100</v>
      </c>
      <c r="N19" t="s">
        <v>125</v>
      </c>
      <c r="O19" t="s">
        <v>392</v>
      </c>
    </row>
    <row r="20" spans="1:15" ht="14.25" customHeight="1">
      <c r="A20" t="s">
        <v>381</v>
      </c>
      <c r="B20" t="s">
        <v>382</v>
      </c>
      <c r="C20" t="s">
        <v>393</v>
      </c>
      <c r="D20">
        <v>9</v>
      </c>
      <c r="E20" t="s">
        <v>69</v>
      </c>
      <c r="F20" t="s">
        <v>391</v>
      </c>
      <c r="H20">
        <f t="shared" si="3"/>
        <v>0</v>
      </c>
      <c r="I20">
        <f t="shared" si="4"/>
        <v>0</v>
      </c>
      <c r="K20" t="str">
        <f t="shared" si="2"/>
        <v/>
      </c>
      <c r="L20" t="s">
        <v>88</v>
      </c>
      <c r="M20" t="s">
        <v>100</v>
      </c>
      <c r="N20" t="s">
        <v>89</v>
      </c>
      <c r="O20" t="s">
        <v>394</v>
      </c>
    </row>
    <row r="21" spans="1:15" ht="14.25" customHeight="1">
      <c r="A21" t="s">
        <v>381</v>
      </c>
      <c r="B21" t="s">
        <v>382</v>
      </c>
      <c r="C21" t="s">
        <v>395</v>
      </c>
      <c r="D21">
        <v>6</v>
      </c>
      <c r="E21" t="s">
        <v>92</v>
      </c>
      <c r="F21" t="s">
        <v>396</v>
      </c>
      <c r="H21">
        <f t="shared" si="3"/>
        <v>0</v>
      </c>
      <c r="I21">
        <f t="shared" si="4"/>
        <v>0</v>
      </c>
      <c r="K21" t="str">
        <f t="shared" si="2"/>
        <v/>
      </c>
      <c r="L21" t="s">
        <v>78</v>
      </c>
      <c r="M21" t="s">
        <v>73</v>
      </c>
      <c r="N21" t="s">
        <v>125</v>
      </c>
      <c r="O21" t="s">
        <v>397</v>
      </c>
    </row>
    <row r="22" spans="1:15" ht="14.25" customHeight="1">
      <c r="A22" t="s">
        <v>381</v>
      </c>
      <c r="B22" t="s">
        <v>382</v>
      </c>
      <c r="C22" t="s">
        <v>398</v>
      </c>
      <c r="D22">
        <v>7</v>
      </c>
      <c r="E22" t="s">
        <v>69</v>
      </c>
      <c r="F22" t="s">
        <v>399</v>
      </c>
      <c r="H22">
        <f t="shared" si="3"/>
        <v>0</v>
      </c>
      <c r="I22">
        <f t="shared" si="4"/>
        <v>0</v>
      </c>
      <c r="K22" t="str">
        <f t="shared" si="2"/>
        <v/>
      </c>
      <c r="L22" t="s">
        <v>88</v>
      </c>
      <c r="M22" t="s">
        <v>100</v>
      </c>
      <c r="N22" t="s">
        <v>125</v>
      </c>
      <c r="O22" t="s">
        <v>400</v>
      </c>
    </row>
    <row r="23" spans="1:15" ht="14.25" customHeight="1">
      <c r="A23" t="s">
        <v>381</v>
      </c>
      <c r="B23" t="s">
        <v>382</v>
      </c>
      <c r="C23" t="s">
        <v>401</v>
      </c>
      <c r="D23">
        <v>6</v>
      </c>
      <c r="E23" t="s">
        <v>92</v>
      </c>
      <c r="F23" t="s">
        <v>402</v>
      </c>
      <c r="H23">
        <f t="shared" si="3"/>
        <v>0</v>
      </c>
      <c r="I23">
        <f t="shared" si="4"/>
        <v>0</v>
      </c>
      <c r="K23" t="str">
        <f t="shared" si="2"/>
        <v/>
      </c>
      <c r="L23" t="s">
        <v>78</v>
      </c>
      <c r="M23" t="s">
        <v>73</v>
      </c>
      <c r="N23" t="s">
        <v>112</v>
      </c>
      <c r="O23" t="s">
        <v>403</v>
      </c>
    </row>
    <row r="24" spans="1:15" ht="14.25" customHeight="1">
      <c r="A24" t="s">
        <v>381</v>
      </c>
      <c r="B24" t="s">
        <v>382</v>
      </c>
      <c r="C24" t="s">
        <v>404</v>
      </c>
      <c r="D24">
        <v>5</v>
      </c>
      <c r="E24" t="s">
        <v>92</v>
      </c>
      <c r="F24" t="s">
        <v>405</v>
      </c>
      <c r="H24">
        <f t="shared" si="3"/>
        <v>0</v>
      </c>
      <c r="I24">
        <f t="shared" si="4"/>
        <v>0</v>
      </c>
      <c r="K24" t="str">
        <f t="shared" si="2"/>
        <v/>
      </c>
      <c r="L24" t="s">
        <v>78</v>
      </c>
      <c r="M24" t="s">
        <v>73</v>
      </c>
      <c r="N24" t="s">
        <v>125</v>
      </c>
      <c r="O24" t="s">
        <v>406</v>
      </c>
    </row>
    <row r="25" spans="1:15" ht="14.25" customHeight="1">
      <c r="K25" t="str">
        <f t="shared" si="2"/>
        <v/>
      </c>
    </row>
    <row r="26" spans="1:15" ht="14.25" customHeight="1">
      <c r="A26" t="s">
        <v>407</v>
      </c>
      <c r="B26" t="s">
        <v>135</v>
      </c>
      <c r="C26" t="s">
        <v>408</v>
      </c>
      <c r="D26">
        <v>8</v>
      </c>
      <c r="E26" t="s">
        <v>69</v>
      </c>
      <c r="F26" t="s">
        <v>361</v>
      </c>
      <c r="H26">
        <f t="shared" ref="H26:H35" si="5">IF($B26=$B$1,1,0)</f>
        <v>0</v>
      </c>
      <c r="I26">
        <f t="shared" ref="I26:I35" si="6">IF(ISBLANK($G26),0,$D26*$G26*$H26)</f>
        <v>0</v>
      </c>
      <c r="K26" t="str">
        <f t="shared" si="2"/>
        <v/>
      </c>
      <c r="L26" t="s">
        <v>72</v>
      </c>
      <c r="M26" t="s">
        <v>73</v>
      </c>
      <c r="N26" t="s">
        <v>74</v>
      </c>
      <c r="O26" t="s">
        <v>409</v>
      </c>
    </row>
    <row r="27" spans="1:15" ht="14.25" customHeight="1">
      <c r="A27" t="s">
        <v>407</v>
      </c>
      <c r="B27" t="s">
        <v>135</v>
      </c>
      <c r="C27" t="s">
        <v>410</v>
      </c>
      <c r="D27">
        <v>6</v>
      </c>
      <c r="E27" t="s">
        <v>92</v>
      </c>
      <c r="F27" t="s">
        <v>361</v>
      </c>
      <c r="H27">
        <f t="shared" si="5"/>
        <v>0</v>
      </c>
      <c r="I27">
        <f t="shared" si="6"/>
        <v>0</v>
      </c>
      <c r="K27" t="str">
        <f t="shared" si="2"/>
        <v/>
      </c>
      <c r="L27" t="s">
        <v>78</v>
      </c>
      <c r="M27" t="s">
        <v>73</v>
      </c>
      <c r="N27" t="s">
        <v>125</v>
      </c>
      <c r="O27" t="s">
        <v>411</v>
      </c>
    </row>
    <row r="28" spans="1:15" ht="14.25" customHeight="1">
      <c r="A28" t="s">
        <v>407</v>
      </c>
      <c r="B28" t="s">
        <v>135</v>
      </c>
      <c r="C28" t="s">
        <v>412</v>
      </c>
      <c r="D28">
        <v>7</v>
      </c>
      <c r="E28" t="s">
        <v>69</v>
      </c>
      <c r="F28" t="s">
        <v>413</v>
      </c>
      <c r="H28">
        <f t="shared" si="5"/>
        <v>0</v>
      </c>
      <c r="I28">
        <f t="shared" si="6"/>
        <v>0</v>
      </c>
      <c r="K28" t="str">
        <f t="shared" si="2"/>
        <v/>
      </c>
      <c r="L28" t="s">
        <v>72</v>
      </c>
      <c r="M28" t="s">
        <v>100</v>
      </c>
      <c r="N28" t="s">
        <v>125</v>
      </c>
      <c r="O28" t="s">
        <v>414</v>
      </c>
    </row>
    <row r="29" spans="1:15" ht="14.25" customHeight="1">
      <c r="A29" t="s">
        <v>407</v>
      </c>
      <c r="B29" t="s">
        <v>135</v>
      </c>
      <c r="C29" t="s">
        <v>415</v>
      </c>
      <c r="D29">
        <v>6</v>
      </c>
      <c r="E29" t="s">
        <v>92</v>
      </c>
      <c r="F29" t="s">
        <v>416</v>
      </c>
      <c r="H29">
        <f t="shared" si="5"/>
        <v>0</v>
      </c>
      <c r="I29">
        <f t="shared" si="6"/>
        <v>0</v>
      </c>
      <c r="K29" t="str">
        <f t="shared" si="2"/>
        <v/>
      </c>
      <c r="L29" t="s">
        <v>78</v>
      </c>
      <c r="M29" t="s">
        <v>73</v>
      </c>
      <c r="N29" t="s">
        <v>112</v>
      </c>
      <c r="O29" t="s">
        <v>417</v>
      </c>
    </row>
    <row r="30" spans="1:15" ht="14.25" customHeight="1">
      <c r="A30" t="s">
        <v>407</v>
      </c>
      <c r="B30" t="s">
        <v>135</v>
      </c>
      <c r="C30" t="s">
        <v>418</v>
      </c>
      <c r="D30">
        <v>9</v>
      </c>
      <c r="E30" t="s">
        <v>69</v>
      </c>
      <c r="F30" t="s">
        <v>391</v>
      </c>
      <c r="H30">
        <f t="shared" si="5"/>
        <v>0</v>
      </c>
      <c r="I30">
        <f t="shared" si="6"/>
        <v>0</v>
      </c>
      <c r="K30" t="str">
        <f t="shared" si="2"/>
        <v/>
      </c>
      <c r="L30" t="s">
        <v>72</v>
      </c>
      <c r="M30" t="s">
        <v>100</v>
      </c>
      <c r="N30" t="s">
        <v>125</v>
      </c>
      <c r="O30" t="s">
        <v>419</v>
      </c>
    </row>
    <row r="31" spans="1:15" ht="14.25" customHeight="1">
      <c r="A31" t="s">
        <v>407</v>
      </c>
      <c r="B31" t="s">
        <v>135</v>
      </c>
      <c r="C31" t="s">
        <v>420</v>
      </c>
      <c r="D31">
        <v>9</v>
      </c>
      <c r="E31" t="s">
        <v>69</v>
      </c>
      <c r="F31" t="s">
        <v>391</v>
      </c>
      <c r="H31">
        <f t="shared" si="5"/>
        <v>0</v>
      </c>
      <c r="I31">
        <f t="shared" si="6"/>
        <v>0</v>
      </c>
      <c r="K31" t="str">
        <f t="shared" si="2"/>
        <v/>
      </c>
      <c r="L31" t="s">
        <v>72</v>
      </c>
      <c r="M31" t="s">
        <v>100</v>
      </c>
      <c r="N31" t="s">
        <v>89</v>
      </c>
      <c r="O31" t="s">
        <v>421</v>
      </c>
    </row>
    <row r="32" spans="1:15" ht="14.25" customHeight="1">
      <c r="A32" t="s">
        <v>407</v>
      </c>
      <c r="B32" t="s">
        <v>135</v>
      </c>
      <c r="C32" t="s">
        <v>422</v>
      </c>
      <c r="D32">
        <v>8</v>
      </c>
      <c r="E32" t="s">
        <v>69</v>
      </c>
      <c r="F32" t="s">
        <v>99</v>
      </c>
      <c r="H32">
        <f t="shared" si="5"/>
        <v>0</v>
      </c>
      <c r="I32">
        <f t="shared" si="6"/>
        <v>0</v>
      </c>
      <c r="K32" t="str">
        <f t="shared" si="2"/>
        <v/>
      </c>
      <c r="L32" t="s">
        <v>88</v>
      </c>
      <c r="M32" t="s">
        <v>100</v>
      </c>
      <c r="N32" t="s">
        <v>89</v>
      </c>
      <c r="O32" t="s">
        <v>423</v>
      </c>
    </row>
    <row r="33" spans="1:15" ht="14.25" customHeight="1">
      <c r="A33" t="s">
        <v>407</v>
      </c>
      <c r="B33" t="s">
        <v>135</v>
      </c>
      <c r="C33" t="s">
        <v>424</v>
      </c>
      <c r="D33">
        <v>7</v>
      </c>
      <c r="E33" t="s">
        <v>69</v>
      </c>
      <c r="F33" t="s">
        <v>99</v>
      </c>
      <c r="H33">
        <f t="shared" si="5"/>
        <v>0</v>
      </c>
      <c r="I33">
        <f t="shared" si="6"/>
        <v>0</v>
      </c>
      <c r="K33" t="str">
        <f t="shared" si="2"/>
        <v/>
      </c>
      <c r="L33" t="s">
        <v>88</v>
      </c>
      <c r="M33" t="s">
        <v>100</v>
      </c>
      <c r="N33" t="s">
        <v>89</v>
      </c>
      <c r="O33" t="s">
        <v>425</v>
      </c>
    </row>
    <row r="34" spans="1:15" ht="14.25" customHeight="1">
      <c r="A34" t="s">
        <v>407</v>
      </c>
      <c r="B34" t="s">
        <v>135</v>
      </c>
      <c r="C34" t="s">
        <v>426</v>
      </c>
      <c r="D34">
        <v>8</v>
      </c>
      <c r="E34" t="s">
        <v>69</v>
      </c>
      <c r="F34" t="s">
        <v>99</v>
      </c>
      <c r="H34">
        <f t="shared" si="5"/>
        <v>0</v>
      </c>
      <c r="I34">
        <f t="shared" si="6"/>
        <v>0</v>
      </c>
      <c r="K34" t="str">
        <f t="shared" si="2"/>
        <v/>
      </c>
      <c r="L34" t="s">
        <v>88</v>
      </c>
      <c r="M34" t="s">
        <v>100</v>
      </c>
      <c r="N34" t="s">
        <v>89</v>
      </c>
      <c r="O34" t="s">
        <v>427</v>
      </c>
    </row>
    <row r="35" spans="1:15" ht="14.25" customHeight="1">
      <c r="A35" t="s">
        <v>407</v>
      </c>
      <c r="B35" t="s">
        <v>135</v>
      </c>
      <c r="C35" t="s">
        <v>428</v>
      </c>
      <c r="D35">
        <v>6</v>
      </c>
      <c r="E35" t="s">
        <v>92</v>
      </c>
      <c r="F35" t="s">
        <v>391</v>
      </c>
      <c r="H35">
        <f t="shared" si="5"/>
        <v>0</v>
      </c>
      <c r="I35">
        <f t="shared" si="6"/>
        <v>0</v>
      </c>
      <c r="K35" t="str">
        <f t="shared" si="2"/>
        <v/>
      </c>
      <c r="L35" t="s">
        <v>78</v>
      </c>
      <c r="M35" t="s">
        <v>100</v>
      </c>
      <c r="N35" t="s">
        <v>125</v>
      </c>
      <c r="O35" t="s">
        <v>429</v>
      </c>
    </row>
    <row r="36" spans="1:15" ht="14.25" customHeight="1">
      <c r="K36" t="str">
        <f t="shared" si="2"/>
        <v/>
      </c>
    </row>
    <row r="37" spans="1:15" ht="14.25" customHeight="1">
      <c r="A37" t="s">
        <v>430</v>
      </c>
      <c r="B37" t="s">
        <v>431</v>
      </c>
      <c r="C37" t="s">
        <v>432</v>
      </c>
      <c r="D37">
        <v>7</v>
      </c>
      <c r="E37" t="s">
        <v>69</v>
      </c>
      <c r="F37" t="s">
        <v>358</v>
      </c>
      <c r="H37">
        <f t="shared" ref="H37:H50" si="7">IF($B37=$B$1,1,0)</f>
        <v>0</v>
      </c>
      <c r="I37">
        <f t="shared" ref="I37:I50" si="8">IF(ISBLANK($G37),0,$D37*$G37*$H37)</f>
        <v>0</v>
      </c>
      <c r="K37" t="str">
        <f t="shared" si="2"/>
        <v/>
      </c>
      <c r="L37" t="s">
        <v>72</v>
      </c>
      <c r="M37" t="s">
        <v>73</v>
      </c>
      <c r="N37" t="s">
        <v>74</v>
      </c>
      <c r="O37" t="s">
        <v>433</v>
      </c>
    </row>
    <row r="38" spans="1:15" ht="14.25" customHeight="1">
      <c r="A38" t="s">
        <v>430</v>
      </c>
      <c r="B38" t="s">
        <v>431</v>
      </c>
      <c r="C38" t="s">
        <v>434</v>
      </c>
      <c r="D38">
        <v>6</v>
      </c>
      <c r="E38" t="s">
        <v>92</v>
      </c>
      <c r="F38" t="s">
        <v>358</v>
      </c>
      <c r="H38">
        <f t="shared" si="7"/>
        <v>0</v>
      </c>
      <c r="I38">
        <f t="shared" si="8"/>
        <v>0</v>
      </c>
      <c r="K38" t="str">
        <f t="shared" si="2"/>
        <v/>
      </c>
      <c r="L38" t="s">
        <v>78</v>
      </c>
      <c r="M38" t="s">
        <v>73</v>
      </c>
      <c r="N38" t="s">
        <v>125</v>
      </c>
      <c r="O38" t="s">
        <v>435</v>
      </c>
    </row>
    <row r="39" spans="1:15" ht="14.25" customHeight="1">
      <c r="A39" t="s">
        <v>430</v>
      </c>
      <c r="B39" t="s">
        <v>431</v>
      </c>
      <c r="C39" t="s">
        <v>436</v>
      </c>
      <c r="D39">
        <v>6</v>
      </c>
      <c r="E39" t="s">
        <v>92</v>
      </c>
      <c r="F39" t="s">
        <v>361</v>
      </c>
      <c r="H39">
        <f t="shared" si="7"/>
        <v>0</v>
      </c>
      <c r="I39">
        <f t="shared" si="8"/>
        <v>0</v>
      </c>
      <c r="K39" t="str">
        <f t="shared" si="2"/>
        <v/>
      </c>
      <c r="L39" t="s">
        <v>78</v>
      </c>
      <c r="M39" t="s">
        <v>73</v>
      </c>
      <c r="N39" t="s">
        <v>125</v>
      </c>
      <c r="O39" t="s">
        <v>437</v>
      </c>
    </row>
    <row r="40" spans="1:15" ht="14.25" customHeight="1">
      <c r="A40" t="s">
        <v>430</v>
      </c>
      <c r="B40" t="s">
        <v>431</v>
      </c>
      <c r="C40" t="s">
        <v>438</v>
      </c>
      <c r="D40">
        <v>6</v>
      </c>
      <c r="E40" t="s">
        <v>92</v>
      </c>
      <c r="F40" t="s">
        <v>358</v>
      </c>
      <c r="H40">
        <f t="shared" si="7"/>
        <v>0</v>
      </c>
      <c r="I40">
        <f t="shared" si="8"/>
        <v>0</v>
      </c>
      <c r="K40" t="str">
        <f t="shared" si="2"/>
        <v/>
      </c>
      <c r="L40" t="s">
        <v>78</v>
      </c>
      <c r="M40" t="s">
        <v>73</v>
      </c>
      <c r="N40" t="s">
        <v>125</v>
      </c>
      <c r="O40" t="s">
        <v>439</v>
      </c>
    </row>
    <row r="41" spans="1:15" ht="14.25" customHeight="1">
      <c r="A41" t="s">
        <v>430</v>
      </c>
      <c r="B41" t="s">
        <v>431</v>
      </c>
      <c r="C41" t="s">
        <v>440</v>
      </c>
      <c r="D41">
        <v>6</v>
      </c>
      <c r="E41" t="s">
        <v>92</v>
      </c>
      <c r="F41" t="s">
        <v>358</v>
      </c>
      <c r="H41">
        <f t="shared" si="7"/>
        <v>0</v>
      </c>
      <c r="I41">
        <f t="shared" si="8"/>
        <v>0</v>
      </c>
      <c r="K41" t="str">
        <f t="shared" si="2"/>
        <v/>
      </c>
      <c r="L41" t="s">
        <v>78</v>
      </c>
      <c r="M41" t="s">
        <v>73</v>
      </c>
      <c r="N41" t="s">
        <v>125</v>
      </c>
      <c r="O41" t="s">
        <v>441</v>
      </c>
    </row>
    <row r="42" spans="1:15" ht="14.25" customHeight="1">
      <c r="A42" t="s">
        <v>430</v>
      </c>
      <c r="B42" t="s">
        <v>431</v>
      </c>
      <c r="C42" t="s">
        <v>442</v>
      </c>
      <c r="D42">
        <v>8</v>
      </c>
      <c r="E42" t="s">
        <v>69</v>
      </c>
      <c r="F42" t="s">
        <v>372</v>
      </c>
      <c r="H42">
        <f t="shared" si="7"/>
        <v>0</v>
      </c>
      <c r="I42">
        <f t="shared" si="8"/>
        <v>0</v>
      </c>
      <c r="K42" t="str">
        <f t="shared" si="2"/>
        <v/>
      </c>
      <c r="L42" t="s">
        <v>88</v>
      </c>
      <c r="M42" t="s">
        <v>73</v>
      </c>
      <c r="N42" t="s">
        <v>89</v>
      </c>
      <c r="O42" t="s">
        <v>443</v>
      </c>
    </row>
    <row r="43" spans="1:15" ht="14.25" customHeight="1">
      <c r="A43" t="s">
        <v>430</v>
      </c>
      <c r="B43" t="s">
        <v>431</v>
      </c>
      <c r="C43" t="s">
        <v>444</v>
      </c>
      <c r="D43">
        <v>7</v>
      </c>
      <c r="E43" t="s">
        <v>69</v>
      </c>
      <c r="F43" t="s">
        <v>358</v>
      </c>
      <c r="H43">
        <f t="shared" si="7"/>
        <v>0</v>
      </c>
      <c r="I43">
        <f t="shared" si="8"/>
        <v>0</v>
      </c>
      <c r="K43" t="str">
        <f t="shared" si="2"/>
        <v/>
      </c>
      <c r="L43" t="s">
        <v>88</v>
      </c>
      <c r="M43" t="s">
        <v>73</v>
      </c>
      <c r="N43" t="s">
        <v>89</v>
      </c>
      <c r="O43" t="s">
        <v>445</v>
      </c>
    </row>
    <row r="44" spans="1:15" ht="14.25" customHeight="1">
      <c r="A44" t="s">
        <v>430</v>
      </c>
      <c r="B44" t="s">
        <v>431</v>
      </c>
      <c r="C44" t="s">
        <v>446</v>
      </c>
      <c r="D44">
        <v>6</v>
      </c>
      <c r="E44" t="s">
        <v>92</v>
      </c>
      <c r="F44" t="s">
        <v>361</v>
      </c>
      <c r="H44">
        <f t="shared" si="7"/>
        <v>0</v>
      </c>
      <c r="I44">
        <f t="shared" si="8"/>
        <v>0</v>
      </c>
      <c r="K44" t="str">
        <f t="shared" si="2"/>
        <v/>
      </c>
      <c r="L44" t="s">
        <v>78</v>
      </c>
      <c r="M44" t="s">
        <v>73</v>
      </c>
      <c r="N44" t="s">
        <v>125</v>
      </c>
      <c r="O44" t="s">
        <v>447</v>
      </c>
    </row>
    <row r="45" spans="1:15" ht="14.25" customHeight="1">
      <c r="A45" t="s">
        <v>430</v>
      </c>
      <c r="B45" t="s">
        <v>431</v>
      </c>
      <c r="C45" t="s">
        <v>448</v>
      </c>
      <c r="D45">
        <v>4</v>
      </c>
      <c r="E45" t="s">
        <v>92</v>
      </c>
      <c r="F45" t="s">
        <v>358</v>
      </c>
      <c r="H45">
        <f t="shared" si="7"/>
        <v>0</v>
      </c>
      <c r="I45">
        <f t="shared" si="8"/>
        <v>0</v>
      </c>
      <c r="K45" t="str">
        <f t="shared" si="2"/>
        <v/>
      </c>
      <c r="L45" t="s">
        <v>93</v>
      </c>
      <c r="M45" t="s">
        <v>73</v>
      </c>
      <c r="N45" t="s">
        <v>74</v>
      </c>
      <c r="O45" t="s">
        <v>449</v>
      </c>
    </row>
    <row r="46" spans="1:15" ht="14.25" customHeight="1">
      <c r="A46" t="s">
        <v>430</v>
      </c>
      <c r="B46" t="s">
        <v>431</v>
      </c>
      <c r="C46" t="s">
        <v>450</v>
      </c>
      <c r="D46">
        <v>5</v>
      </c>
      <c r="E46" t="s">
        <v>92</v>
      </c>
      <c r="F46" t="s">
        <v>361</v>
      </c>
      <c r="H46">
        <f t="shared" si="7"/>
        <v>0</v>
      </c>
      <c r="I46">
        <f t="shared" si="8"/>
        <v>0</v>
      </c>
      <c r="K46" t="str">
        <f t="shared" si="2"/>
        <v/>
      </c>
      <c r="L46" t="s">
        <v>78</v>
      </c>
      <c r="M46" t="s">
        <v>73</v>
      </c>
      <c r="N46" t="s">
        <v>125</v>
      </c>
      <c r="O46" t="s">
        <v>451</v>
      </c>
    </row>
    <row r="47" spans="1:15" ht="14.25" customHeight="1">
      <c r="A47" t="s">
        <v>430</v>
      </c>
      <c r="B47" t="s">
        <v>431</v>
      </c>
      <c r="C47" t="s">
        <v>452</v>
      </c>
      <c r="D47">
        <v>8</v>
      </c>
      <c r="E47" t="s">
        <v>69</v>
      </c>
      <c r="F47" t="s">
        <v>372</v>
      </c>
      <c r="H47">
        <f t="shared" si="7"/>
        <v>0</v>
      </c>
      <c r="I47">
        <f t="shared" si="8"/>
        <v>0</v>
      </c>
      <c r="K47" t="str">
        <f t="shared" si="2"/>
        <v/>
      </c>
      <c r="L47" t="s">
        <v>88</v>
      </c>
      <c r="M47" t="s">
        <v>73</v>
      </c>
      <c r="N47" t="s">
        <v>89</v>
      </c>
      <c r="O47" t="s">
        <v>453</v>
      </c>
    </row>
    <row r="48" spans="1:15" ht="14.25" customHeight="1">
      <c r="A48" t="s">
        <v>430</v>
      </c>
      <c r="B48" t="s">
        <v>431</v>
      </c>
      <c r="C48" t="s">
        <v>454</v>
      </c>
      <c r="D48">
        <v>5</v>
      </c>
      <c r="E48" t="s">
        <v>92</v>
      </c>
      <c r="F48" t="s">
        <v>405</v>
      </c>
      <c r="H48">
        <f t="shared" si="7"/>
        <v>0</v>
      </c>
      <c r="I48">
        <f t="shared" si="8"/>
        <v>0</v>
      </c>
      <c r="K48" t="str">
        <f t="shared" si="2"/>
        <v/>
      </c>
      <c r="L48" t="s">
        <v>93</v>
      </c>
      <c r="M48" t="s">
        <v>73</v>
      </c>
      <c r="N48" t="s">
        <v>125</v>
      </c>
      <c r="O48" t="s">
        <v>455</v>
      </c>
    </row>
    <row r="49" spans="1:15" ht="14.25" customHeight="1">
      <c r="A49" t="s">
        <v>430</v>
      </c>
      <c r="B49" t="s">
        <v>431</v>
      </c>
      <c r="C49" t="s">
        <v>456</v>
      </c>
      <c r="D49">
        <v>6</v>
      </c>
      <c r="E49" t="s">
        <v>92</v>
      </c>
      <c r="F49" t="s">
        <v>396</v>
      </c>
      <c r="H49">
        <f t="shared" si="7"/>
        <v>0</v>
      </c>
      <c r="I49">
        <f t="shared" si="8"/>
        <v>0</v>
      </c>
      <c r="K49" t="str">
        <f t="shared" si="2"/>
        <v/>
      </c>
      <c r="L49" t="s">
        <v>78</v>
      </c>
      <c r="M49" t="s">
        <v>73</v>
      </c>
      <c r="N49" t="s">
        <v>125</v>
      </c>
      <c r="O49" t="s">
        <v>457</v>
      </c>
    </row>
    <row r="50" spans="1:15" ht="14.25" customHeight="1">
      <c r="A50" t="s">
        <v>430</v>
      </c>
      <c r="B50" t="s">
        <v>431</v>
      </c>
      <c r="C50" t="s">
        <v>458</v>
      </c>
      <c r="D50" s="48">
        <v>5</v>
      </c>
      <c r="E50" s="48" t="s">
        <v>69</v>
      </c>
      <c r="F50" t="s">
        <v>459</v>
      </c>
      <c r="H50">
        <f t="shared" si="7"/>
        <v>0</v>
      </c>
      <c r="I50">
        <f t="shared" si="8"/>
        <v>0</v>
      </c>
      <c r="K50" t="str">
        <f t="shared" si="2"/>
        <v/>
      </c>
      <c r="L50" t="s">
        <v>78</v>
      </c>
      <c r="M50" t="s">
        <v>100</v>
      </c>
      <c r="N50" t="s">
        <v>112</v>
      </c>
      <c r="O50" t="s">
        <v>460</v>
      </c>
    </row>
    <row r="51" spans="1:15" ht="14.25" customHeight="1">
      <c r="A51" s="32" t="s">
        <v>430</v>
      </c>
      <c r="B51" s="32" t="s">
        <v>431</v>
      </c>
      <c r="C51" s="32" t="s">
        <v>461</v>
      </c>
      <c r="D51" s="32">
        <v>5</v>
      </c>
      <c r="E51" s="32" t="s">
        <v>92</v>
      </c>
      <c r="F51" s="32" t="s">
        <v>361</v>
      </c>
      <c r="G51" s="32"/>
      <c r="H51" s="32">
        <v>0</v>
      </c>
      <c r="I51" s="32"/>
      <c r="J51" s="32" t="s">
        <v>462</v>
      </c>
      <c r="K51" s="32"/>
      <c r="L51" s="32" t="s">
        <v>78</v>
      </c>
      <c r="M51" s="32" t="s">
        <v>73</v>
      </c>
      <c r="N51" s="32" t="s">
        <v>125</v>
      </c>
      <c r="O51" s="32" t="s">
        <v>463</v>
      </c>
    </row>
    <row r="52" spans="1:15" ht="14.25" customHeight="1">
      <c r="K52" t="str">
        <f t="shared" ref="K52:K83" si="9">IF(AND($E51="Y",$G51=0,$H51=1),"CRITICAL FAIL",IF($G51=-1,"EVIDENCE MISSING",""))</f>
        <v/>
      </c>
    </row>
    <row r="53" spans="1:15" ht="14.25" customHeight="1">
      <c r="A53" t="s">
        <v>464</v>
      </c>
      <c r="B53" t="s">
        <v>465</v>
      </c>
      <c r="C53" t="s">
        <v>466</v>
      </c>
      <c r="D53">
        <v>8</v>
      </c>
      <c r="E53" t="s">
        <v>69</v>
      </c>
      <c r="F53" t="s">
        <v>358</v>
      </c>
      <c r="H53">
        <f t="shared" ref="H53:H65" si="10">IF($B52=$B$1,1,0)</f>
        <v>1</v>
      </c>
      <c r="I53">
        <f t="shared" ref="I53:I65" si="11">IF(ISBLANK($G52),0,$D52*$G52*$H52)</f>
        <v>0</v>
      </c>
      <c r="K53" t="str">
        <f t="shared" si="9"/>
        <v/>
      </c>
      <c r="L53" t="s">
        <v>72</v>
      </c>
      <c r="M53" t="s">
        <v>73</v>
      </c>
      <c r="N53" t="s">
        <v>74</v>
      </c>
      <c r="O53" t="s">
        <v>467</v>
      </c>
    </row>
    <row r="54" spans="1:15" ht="14.25" customHeight="1">
      <c r="A54" t="s">
        <v>464</v>
      </c>
      <c r="B54" t="s">
        <v>465</v>
      </c>
      <c r="C54" t="s">
        <v>468</v>
      </c>
      <c r="D54">
        <v>7</v>
      </c>
      <c r="E54" t="s">
        <v>69</v>
      </c>
      <c r="F54" t="s">
        <v>358</v>
      </c>
      <c r="H54">
        <f t="shared" si="10"/>
        <v>0</v>
      </c>
      <c r="I54">
        <f t="shared" si="11"/>
        <v>0</v>
      </c>
      <c r="K54" t="str">
        <f t="shared" si="9"/>
        <v>CRITICAL FAIL</v>
      </c>
      <c r="L54" t="s">
        <v>72</v>
      </c>
      <c r="M54" t="s">
        <v>73</v>
      </c>
      <c r="N54" t="s">
        <v>74</v>
      </c>
      <c r="O54" t="s">
        <v>469</v>
      </c>
    </row>
    <row r="55" spans="1:15" ht="14.25" customHeight="1">
      <c r="A55" t="s">
        <v>464</v>
      </c>
      <c r="B55" t="s">
        <v>465</v>
      </c>
      <c r="C55" t="s">
        <v>470</v>
      </c>
      <c r="D55" s="48">
        <v>8</v>
      </c>
      <c r="E55" s="48" t="s">
        <v>69</v>
      </c>
      <c r="F55" t="s">
        <v>361</v>
      </c>
      <c r="H55">
        <f t="shared" si="10"/>
        <v>0</v>
      </c>
      <c r="I55">
        <f t="shared" si="11"/>
        <v>0</v>
      </c>
      <c r="K55" t="str">
        <f t="shared" si="9"/>
        <v/>
      </c>
      <c r="L55" t="s">
        <v>78</v>
      </c>
      <c r="M55" t="s">
        <v>73</v>
      </c>
      <c r="N55" t="s">
        <v>125</v>
      </c>
      <c r="O55" t="s">
        <v>471</v>
      </c>
    </row>
    <row r="56" spans="1:15" ht="14.25" customHeight="1">
      <c r="A56" t="s">
        <v>464</v>
      </c>
      <c r="B56" t="s">
        <v>465</v>
      </c>
      <c r="C56" t="s">
        <v>472</v>
      </c>
      <c r="D56">
        <v>8</v>
      </c>
      <c r="E56" t="s">
        <v>69</v>
      </c>
      <c r="F56" t="s">
        <v>361</v>
      </c>
      <c r="H56">
        <f t="shared" si="10"/>
        <v>0</v>
      </c>
      <c r="I56">
        <f t="shared" si="11"/>
        <v>0</v>
      </c>
      <c r="K56" t="str">
        <f t="shared" si="9"/>
        <v/>
      </c>
      <c r="L56" t="s">
        <v>78</v>
      </c>
      <c r="M56" t="s">
        <v>73</v>
      </c>
      <c r="N56" t="s">
        <v>125</v>
      </c>
      <c r="O56" t="s">
        <v>473</v>
      </c>
    </row>
    <row r="57" spans="1:15" ht="14.25" customHeight="1">
      <c r="A57" t="s">
        <v>464</v>
      </c>
      <c r="B57" t="s">
        <v>465</v>
      </c>
      <c r="C57" t="s">
        <v>474</v>
      </c>
      <c r="D57">
        <v>6</v>
      </c>
      <c r="E57" t="s">
        <v>92</v>
      </c>
      <c r="F57" t="s">
        <v>475</v>
      </c>
      <c r="H57">
        <f t="shared" si="10"/>
        <v>0</v>
      </c>
      <c r="I57">
        <f t="shared" si="11"/>
        <v>0</v>
      </c>
      <c r="K57" t="str">
        <f t="shared" si="9"/>
        <v/>
      </c>
      <c r="L57" t="s">
        <v>78</v>
      </c>
      <c r="M57" t="s">
        <v>100</v>
      </c>
      <c r="N57" t="s">
        <v>112</v>
      </c>
      <c r="O57" t="s">
        <v>476</v>
      </c>
    </row>
    <row r="58" spans="1:15" ht="14.25" customHeight="1">
      <c r="A58" t="s">
        <v>464</v>
      </c>
      <c r="B58" t="s">
        <v>465</v>
      </c>
      <c r="C58" t="s">
        <v>477</v>
      </c>
      <c r="D58">
        <v>7</v>
      </c>
      <c r="E58" t="s">
        <v>69</v>
      </c>
      <c r="F58" t="s">
        <v>361</v>
      </c>
      <c r="H58">
        <f t="shared" si="10"/>
        <v>0</v>
      </c>
      <c r="I58">
        <f t="shared" si="11"/>
        <v>0</v>
      </c>
      <c r="K58" t="str">
        <f t="shared" si="9"/>
        <v/>
      </c>
      <c r="L58" t="s">
        <v>88</v>
      </c>
      <c r="M58" t="s">
        <v>73</v>
      </c>
      <c r="N58" t="s">
        <v>89</v>
      </c>
      <c r="O58" t="s">
        <v>478</v>
      </c>
    </row>
    <row r="59" spans="1:15" ht="14.25" customHeight="1">
      <c r="A59" t="s">
        <v>464</v>
      </c>
      <c r="B59" t="s">
        <v>465</v>
      </c>
      <c r="C59" t="s">
        <v>479</v>
      </c>
      <c r="D59">
        <v>5</v>
      </c>
      <c r="E59" t="s">
        <v>92</v>
      </c>
      <c r="F59" t="s">
        <v>405</v>
      </c>
      <c r="H59">
        <f t="shared" si="10"/>
        <v>0</v>
      </c>
      <c r="I59">
        <f t="shared" si="11"/>
        <v>0</v>
      </c>
      <c r="K59" t="str">
        <f t="shared" si="9"/>
        <v/>
      </c>
      <c r="L59" t="s">
        <v>78</v>
      </c>
      <c r="M59" t="s">
        <v>73</v>
      </c>
      <c r="N59" t="s">
        <v>125</v>
      </c>
      <c r="O59" t="s">
        <v>480</v>
      </c>
    </row>
    <row r="60" spans="1:15" ht="14.25" customHeight="1">
      <c r="A60" t="s">
        <v>464</v>
      </c>
      <c r="B60" t="s">
        <v>465</v>
      </c>
      <c r="C60" t="s">
        <v>481</v>
      </c>
      <c r="D60">
        <v>8</v>
      </c>
      <c r="E60" t="s">
        <v>69</v>
      </c>
      <c r="F60" t="s">
        <v>358</v>
      </c>
      <c r="H60">
        <f t="shared" si="10"/>
        <v>0</v>
      </c>
      <c r="I60">
        <f t="shared" si="11"/>
        <v>0</v>
      </c>
      <c r="K60" t="str">
        <f t="shared" si="9"/>
        <v/>
      </c>
      <c r="L60" t="s">
        <v>88</v>
      </c>
      <c r="M60" t="s">
        <v>73</v>
      </c>
      <c r="N60" t="s">
        <v>89</v>
      </c>
      <c r="O60" t="s">
        <v>482</v>
      </c>
    </row>
    <row r="61" spans="1:15" ht="14.25" customHeight="1">
      <c r="A61" t="s">
        <v>464</v>
      </c>
      <c r="B61" t="s">
        <v>465</v>
      </c>
      <c r="C61" t="s">
        <v>483</v>
      </c>
      <c r="D61">
        <v>6</v>
      </c>
      <c r="E61" t="s">
        <v>92</v>
      </c>
      <c r="F61" t="s">
        <v>361</v>
      </c>
      <c r="H61">
        <f t="shared" si="10"/>
        <v>0</v>
      </c>
      <c r="I61">
        <f t="shared" si="11"/>
        <v>0</v>
      </c>
      <c r="K61" t="str">
        <f t="shared" si="9"/>
        <v/>
      </c>
      <c r="L61" t="s">
        <v>78</v>
      </c>
      <c r="M61" t="s">
        <v>73</v>
      </c>
      <c r="N61" t="s">
        <v>125</v>
      </c>
      <c r="O61" t="s">
        <v>484</v>
      </c>
    </row>
    <row r="62" spans="1:15" ht="14.25" customHeight="1">
      <c r="A62" t="s">
        <v>464</v>
      </c>
      <c r="B62" t="s">
        <v>465</v>
      </c>
      <c r="C62" t="s">
        <v>485</v>
      </c>
      <c r="D62">
        <v>8</v>
      </c>
      <c r="E62" t="s">
        <v>69</v>
      </c>
      <c r="F62" t="s">
        <v>358</v>
      </c>
      <c r="H62">
        <f t="shared" si="10"/>
        <v>0</v>
      </c>
      <c r="I62">
        <f t="shared" si="11"/>
        <v>0</v>
      </c>
      <c r="K62" t="str">
        <f t="shared" si="9"/>
        <v/>
      </c>
      <c r="L62" t="s">
        <v>88</v>
      </c>
      <c r="M62" t="s">
        <v>73</v>
      </c>
      <c r="N62" t="s">
        <v>89</v>
      </c>
      <c r="O62" t="s">
        <v>486</v>
      </c>
    </row>
    <row r="63" spans="1:15" ht="14.25" customHeight="1">
      <c r="A63" t="s">
        <v>464</v>
      </c>
      <c r="B63" t="s">
        <v>465</v>
      </c>
      <c r="C63" t="s">
        <v>487</v>
      </c>
      <c r="D63">
        <v>5</v>
      </c>
      <c r="E63" t="s">
        <v>92</v>
      </c>
      <c r="F63" t="s">
        <v>358</v>
      </c>
      <c r="H63">
        <f t="shared" si="10"/>
        <v>0</v>
      </c>
      <c r="I63">
        <f t="shared" si="11"/>
        <v>0</v>
      </c>
      <c r="K63" t="str">
        <f t="shared" si="9"/>
        <v/>
      </c>
      <c r="L63" t="s">
        <v>78</v>
      </c>
      <c r="M63" t="s">
        <v>73</v>
      </c>
      <c r="N63" t="s">
        <v>125</v>
      </c>
      <c r="O63" t="s">
        <v>488</v>
      </c>
    </row>
    <row r="64" spans="1:15" ht="14.25" customHeight="1">
      <c r="A64" t="s">
        <v>464</v>
      </c>
      <c r="B64" t="s">
        <v>465</v>
      </c>
      <c r="C64" t="s">
        <v>489</v>
      </c>
      <c r="D64">
        <v>4</v>
      </c>
      <c r="E64" t="s">
        <v>92</v>
      </c>
      <c r="F64" t="s">
        <v>358</v>
      </c>
      <c r="H64">
        <f t="shared" si="10"/>
        <v>0</v>
      </c>
      <c r="I64">
        <f t="shared" si="11"/>
        <v>0</v>
      </c>
      <c r="K64" t="str">
        <f t="shared" si="9"/>
        <v/>
      </c>
      <c r="L64" t="s">
        <v>93</v>
      </c>
      <c r="M64" t="s">
        <v>73</v>
      </c>
      <c r="N64" t="s">
        <v>125</v>
      </c>
      <c r="O64" t="s">
        <v>490</v>
      </c>
    </row>
    <row r="65" spans="1:15" ht="14.25" customHeight="1">
      <c r="A65" t="s">
        <v>464</v>
      </c>
      <c r="B65" t="s">
        <v>465</v>
      </c>
      <c r="C65" t="s">
        <v>452</v>
      </c>
      <c r="D65">
        <v>9</v>
      </c>
      <c r="E65" t="s">
        <v>69</v>
      </c>
      <c r="F65" t="s">
        <v>372</v>
      </c>
      <c r="H65">
        <f t="shared" si="10"/>
        <v>0</v>
      </c>
      <c r="I65">
        <f t="shared" si="11"/>
        <v>0</v>
      </c>
      <c r="K65" t="str">
        <f t="shared" si="9"/>
        <v/>
      </c>
      <c r="L65" t="s">
        <v>88</v>
      </c>
      <c r="M65" t="s">
        <v>73</v>
      </c>
      <c r="N65" t="s">
        <v>89</v>
      </c>
      <c r="O65" t="s">
        <v>491</v>
      </c>
    </row>
    <row r="66" spans="1:15" ht="14.25" customHeight="1">
      <c r="K66" t="str">
        <f t="shared" si="9"/>
        <v/>
      </c>
    </row>
    <row r="67" spans="1:15" ht="14.25" customHeight="1">
      <c r="A67" t="s">
        <v>492</v>
      </c>
      <c r="B67" t="s">
        <v>493</v>
      </c>
      <c r="C67" t="s">
        <v>494</v>
      </c>
      <c r="D67">
        <v>8</v>
      </c>
      <c r="E67" t="s">
        <v>69</v>
      </c>
      <c r="F67" t="s">
        <v>358</v>
      </c>
      <c r="H67">
        <f t="shared" ref="H67:H76" si="12">IF($B66=$B$1,1,0)</f>
        <v>1</v>
      </c>
      <c r="I67">
        <f t="shared" ref="I67:I76" si="13">IF(ISBLANK($G66),0,$D66*$G66*$H66)</f>
        <v>0</v>
      </c>
      <c r="K67" t="str">
        <f t="shared" si="9"/>
        <v/>
      </c>
      <c r="L67" t="s">
        <v>72</v>
      </c>
      <c r="M67" t="s">
        <v>73</v>
      </c>
      <c r="N67" t="s">
        <v>74</v>
      </c>
      <c r="O67" t="s">
        <v>495</v>
      </c>
    </row>
    <row r="68" spans="1:15" ht="14.25" customHeight="1">
      <c r="A68" t="s">
        <v>492</v>
      </c>
      <c r="B68" t="s">
        <v>493</v>
      </c>
      <c r="C68" t="s">
        <v>496</v>
      </c>
      <c r="D68">
        <v>7</v>
      </c>
      <c r="E68" t="s">
        <v>69</v>
      </c>
      <c r="F68" t="s">
        <v>361</v>
      </c>
      <c r="H68">
        <f t="shared" si="12"/>
        <v>0</v>
      </c>
      <c r="I68">
        <f t="shared" si="13"/>
        <v>0</v>
      </c>
      <c r="K68" t="str">
        <f t="shared" si="9"/>
        <v>CRITICAL FAIL</v>
      </c>
      <c r="L68" t="s">
        <v>72</v>
      </c>
      <c r="M68" t="s">
        <v>73</v>
      </c>
      <c r="N68" t="s">
        <v>125</v>
      </c>
      <c r="O68" t="s">
        <v>497</v>
      </c>
    </row>
    <row r="69" spans="1:15" ht="14.25" customHeight="1">
      <c r="A69" t="s">
        <v>492</v>
      </c>
      <c r="B69" t="s">
        <v>493</v>
      </c>
      <c r="C69" t="s">
        <v>498</v>
      </c>
      <c r="D69">
        <v>7</v>
      </c>
      <c r="E69" t="s">
        <v>69</v>
      </c>
      <c r="F69" t="s">
        <v>361</v>
      </c>
      <c r="H69">
        <f t="shared" si="12"/>
        <v>0</v>
      </c>
      <c r="I69">
        <f t="shared" si="13"/>
        <v>0</v>
      </c>
      <c r="K69" t="str">
        <f t="shared" si="9"/>
        <v/>
      </c>
      <c r="L69" t="s">
        <v>72</v>
      </c>
      <c r="M69" t="s">
        <v>73</v>
      </c>
      <c r="N69" t="s">
        <v>74</v>
      </c>
      <c r="O69" t="s">
        <v>499</v>
      </c>
    </row>
    <row r="70" spans="1:15" ht="14.25" customHeight="1">
      <c r="A70" t="s">
        <v>492</v>
      </c>
      <c r="B70" t="s">
        <v>493</v>
      </c>
      <c r="C70" t="s">
        <v>500</v>
      </c>
      <c r="D70">
        <v>8</v>
      </c>
      <c r="E70" t="s">
        <v>69</v>
      </c>
      <c r="F70" t="s">
        <v>372</v>
      </c>
      <c r="H70">
        <f t="shared" si="12"/>
        <v>0</v>
      </c>
      <c r="I70">
        <f t="shared" si="13"/>
        <v>0</v>
      </c>
      <c r="K70" t="str">
        <f t="shared" si="9"/>
        <v/>
      </c>
      <c r="L70" t="s">
        <v>72</v>
      </c>
      <c r="M70" t="s">
        <v>73</v>
      </c>
      <c r="N70" t="s">
        <v>112</v>
      </c>
      <c r="O70" t="s">
        <v>501</v>
      </c>
    </row>
    <row r="71" spans="1:15" ht="14.25" customHeight="1">
      <c r="A71" t="s">
        <v>492</v>
      </c>
      <c r="B71" t="s">
        <v>493</v>
      </c>
      <c r="C71" t="s">
        <v>502</v>
      </c>
      <c r="D71">
        <v>7</v>
      </c>
      <c r="E71" t="s">
        <v>92</v>
      </c>
      <c r="F71" t="s">
        <v>503</v>
      </c>
      <c r="H71">
        <f t="shared" si="12"/>
        <v>0</v>
      </c>
      <c r="I71">
        <f t="shared" si="13"/>
        <v>0</v>
      </c>
      <c r="K71" t="str">
        <f t="shared" si="9"/>
        <v/>
      </c>
      <c r="L71" t="s">
        <v>88</v>
      </c>
      <c r="M71" t="s">
        <v>100</v>
      </c>
      <c r="N71" t="s">
        <v>89</v>
      </c>
      <c r="O71" t="s">
        <v>504</v>
      </c>
    </row>
    <row r="72" spans="1:15" ht="14.25" customHeight="1">
      <c r="A72" t="s">
        <v>492</v>
      </c>
      <c r="B72" t="s">
        <v>493</v>
      </c>
      <c r="C72" t="s">
        <v>505</v>
      </c>
      <c r="D72">
        <v>8</v>
      </c>
      <c r="E72" t="s">
        <v>69</v>
      </c>
      <c r="F72" t="s">
        <v>372</v>
      </c>
      <c r="H72">
        <f t="shared" si="12"/>
        <v>0</v>
      </c>
      <c r="I72">
        <f t="shared" si="13"/>
        <v>0</v>
      </c>
      <c r="K72" t="str">
        <f t="shared" si="9"/>
        <v/>
      </c>
      <c r="L72" t="s">
        <v>72</v>
      </c>
      <c r="M72" t="s">
        <v>73</v>
      </c>
      <c r="N72" t="s">
        <v>125</v>
      </c>
      <c r="O72" t="s">
        <v>506</v>
      </c>
    </row>
    <row r="73" spans="1:15" ht="14.25" customHeight="1">
      <c r="A73" t="s">
        <v>492</v>
      </c>
      <c r="B73" t="s">
        <v>493</v>
      </c>
      <c r="C73" t="s">
        <v>507</v>
      </c>
      <c r="D73">
        <v>6</v>
      </c>
      <c r="E73" t="s">
        <v>92</v>
      </c>
      <c r="F73" t="s">
        <v>361</v>
      </c>
      <c r="H73">
        <f t="shared" si="12"/>
        <v>0</v>
      </c>
      <c r="I73">
        <f t="shared" si="13"/>
        <v>0</v>
      </c>
      <c r="K73" t="str">
        <f t="shared" si="9"/>
        <v/>
      </c>
      <c r="L73" t="s">
        <v>78</v>
      </c>
      <c r="M73" t="s">
        <v>73</v>
      </c>
      <c r="N73" t="s">
        <v>125</v>
      </c>
      <c r="O73" t="s">
        <v>508</v>
      </c>
    </row>
    <row r="74" spans="1:15" ht="14.25" customHeight="1">
      <c r="A74" t="s">
        <v>492</v>
      </c>
      <c r="B74" t="s">
        <v>493</v>
      </c>
      <c r="C74" t="s">
        <v>509</v>
      </c>
      <c r="D74">
        <v>4</v>
      </c>
      <c r="E74" t="s">
        <v>92</v>
      </c>
      <c r="F74" t="s">
        <v>510</v>
      </c>
      <c r="H74">
        <f t="shared" si="12"/>
        <v>0</v>
      </c>
      <c r="I74">
        <f t="shared" si="13"/>
        <v>0</v>
      </c>
      <c r="K74" t="str">
        <f t="shared" si="9"/>
        <v/>
      </c>
      <c r="L74" t="s">
        <v>78</v>
      </c>
      <c r="M74" t="s">
        <v>100</v>
      </c>
      <c r="N74" t="s">
        <v>101</v>
      </c>
      <c r="O74" t="s">
        <v>511</v>
      </c>
    </row>
    <row r="75" spans="1:15" ht="14.25" customHeight="1">
      <c r="A75" t="s">
        <v>492</v>
      </c>
      <c r="B75" t="s">
        <v>493</v>
      </c>
      <c r="C75" t="s">
        <v>512</v>
      </c>
      <c r="D75">
        <v>6</v>
      </c>
      <c r="E75" t="s">
        <v>92</v>
      </c>
      <c r="F75" t="s">
        <v>503</v>
      </c>
      <c r="H75">
        <f t="shared" si="12"/>
        <v>0</v>
      </c>
      <c r="I75">
        <f t="shared" si="13"/>
        <v>0</v>
      </c>
      <c r="K75" t="str">
        <f t="shared" si="9"/>
        <v/>
      </c>
      <c r="L75" t="s">
        <v>88</v>
      </c>
      <c r="M75" t="s">
        <v>100</v>
      </c>
      <c r="N75" t="s">
        <v>89</v>
      </c>
      <c r="O75" t="s">
        <v>513</v>
      </c>
    </row>
    <row r="76" spans="1:15" ht="14.25" customHeight="1">
      <c r="A76" t="s">
        <v>492</v>
      </c>
      <c r="B76" t="s">
        <v>493</v>
      </c>
      <c r="C76" t="s">
        <v>514</v>
      </c>
      <c r="D76">
        <v>7</v>
      </c>
      <c r="E76" t="s">
        <v>69</v>
      </c>
      <c r="F76" t="s">
        <v>515</v>
      </c>
      <c r="H76">
        <f t="shared" si="12"/>
        <v>0</v>
      </c>
      <c r="I76">
        <f t="shared" si="13"/>
        <v>0</v>
      </c>
      <c r="K76" t="str">
        <f t="shared" si="9"/>
        <v/>
      </c>
      <c r="L76" t="s">
        <v>93</v>
      </c>
      <c r="M76" t="s">
        <v>100</v>
      </c>
      <c r="N76" t="s">
        <v>89</v>
      </c>
      <c r="O76" t="s">
        <v>516</v>
      </c>
    </row>
    <row r="77" spans="1:15" ht="14.25" customHeight="1">
      <c r="K77" t="str">
        <f t="shared" si="9"/>
        <v/>
      </c>
    </row>
    <row r="78" spans="1:15" ht="14.25" customHeight="1">
      <c r="A78" t="s">
        <v>517</v>
      </c>
      <c r="B78" t="s">
        <v>518</v>
      </c>
      <c r="C78" t="s">
        <v>519</v>
      </c>
      <c r="D78">
        <v>8</v>
      </c>
      <c r="E78" t="s">
        <v>69</v>
      </c>
      <c r="F78" t="s">
        <v>358</v>
      </c>
      <c r="H78">
        <f t="shared" ref="H78:H87" si="14">IF($B77=$B$1,1,0)</f>
        <v>1</v>
      </c>
      <c r="I78">
        <f t="shared" ref="I78:I87" si="15">IF(ISBLANK($G77),0,$D77*$G77*$H77)</f>
        <v>0</v>
      </c>
      <c r="K78" t="str">
        <f t="shared" si="9"/>
        <v/>
      </c>
      <c r="L78" t="s">
        <v>72</v>
      </c>
      <c r="M78" t="s">
        <v>73</v>
      </c>
      <c r="N78" t="s">
        <v>74</v>
      </c>
      <c r="O78" t="s">
        <v>520</v>
      </c>
    </row>
    <row r="79" spans="1:15" ht="14.25" customHeight="1">
      <c r="A79" t="s">
        <v>517</v>
      </c>
      <c r="B79" t="s">
        <v>518</v>
      </c>
      <c r="C79" t="s">
        <v>521</v>
      </c>
      <c r="D79">
        <v>8</v>
      </c>
      <c r="E79" t="s">
        <v>69</v>
      </c>
      <c r="F79" t="s">
        <v>503</v>
      </c>
      <c r="H79">
        <f t="shared" si="14"/>
        <v>0</v>
      </c>
      <c r="I79">
        <f t="shared" si="15"/>
        <v>0</v>
      </c>
      <c r="K79" t="str">
        <f t="shared" si="9"/>
        <v>CRITICAL FAIL</v>
      </c>
      <c r="L79" t="s">
        <v>72</v>
      </c>
      <c r="M79" t="s">
        <v>100</v>
      </c>
      <c r="N79" t="s">
        <v>125</v>
      </c>
      <c r="O79" t="s">
        <v>522</v>
      </c>
    </row>
    <row r="80" spans="1:15" ht="14.25" customHeight="1">
      <c r="A80" t="s">
        <v>517</v>
      </c>
      <c r="B80" t="s">
        <v>518</v>
      </c>
      <c r="C80" t="s">
        <v>523</v>
      </c>
      <c r="D80">
        <v>9</v>
      </c>
      <c r="E80" t="s">
        <v>69</v>
      </c>
      <c r="F80" t="s">
        <v>503</v>
      </c>
      <c r="H80">
        <f t="shared" si="14"/>
        <v>0</v>
      </c>
      <c r="I80">
        <f t="shared" si="15"/>
        <v>0</v>
      </c>
      <c r="K80" t="str">
        <f t="shared" si="9"/>
        <v/>
      </c>
      <c r="L80" t="s">
        <v>72</v>
      </c>
      <c r="M80" t="s">
        <v>100</v>
      </c>
      <c r="N80" t="s">
        <v>74</v>
      </c>
      <c r="O80" t="s">
        <v>524</v>
      </c>
    </row>
    <row r="81" spans="1:15" ht="14.25" customHeight="1">
      <c r="A81" t="s">
        <v>517</v>
      </c>
      <c r="B81" t="s">
        <v>518</v>
      </c>
      <c r="C81" t="s">
        <v>525</v>
      </c>
      <c r="D81">
        <v>9</v>
      </c>
      <c r="E81" t="s">
        <v>69</v>
      </c>
      <c r="F81" t="s">
        <v>99</v>
      </c>
      <c r="H81">
        <f t="shared" si="14"/>
        <v>0</v>
      </c>
      <c r="I81">
        <f t="shared" si="15"/>
        <v>0</v>
      </c>
      <c r="K81" t="str">
        <f t="shared" si="9"/>
        <v/>
      </c>
      <c r="L81" t="s">
        <v>88</v>
      </c>
      <c r="M81" t="s">
        <v>100</v>
      </c>
      <c r="N81" t="s">
        <v>89</v>
      </c>
      <c r="O81" t="s">
        <v>526</v>
      </c>
    </row>
    <row r="82" spans="1:15" ht="14.25" customHeight="1">
      <c r="A82" t="s">
        <v>517</v>
      </c>
      <c r="B82" t="s">
        <v>518</v>
      </c>
      <c r="C82" t="s">
        <v>527</v>
      </c>
      <c r="D82">
        <v>6</v>
      </c>
      <c r="E82" t="s">
        <v>92</v>
      </c>
      <c r="F82" t="s">
        <v>416</v>
      </c>
      <c r="H82">
        <f t="shared" si="14"/>
        <v>0</v>
      </c>
      <c r="I82">
        <f t="shared" si="15"/>
        <v>0</v>
      </c>
      <c r="K82" t="str">
        <f t="shared" si="9"/>
        <v/>
      </c>
      <c r="L82" t="s">
        <v>78</v>
      </c>
      <c r="M82" t="s">
        <v>73</v>
      </c>
      <c r="N82" t="s">
        <v>112</v>
      </c>
      <c r="O82" t="s">
        <v>528</v>
      </c>
    </row>
    <row r="83" spans="1:15" ht="14.25" customHeight="1">
      <c r="A83" t="s">
        <v>517</v>
      </c>
      <c r="B83" t="s">
        <v>518</v>
      </c>
      <c r="C83" t="s">
        <v>529</v>
      </c>
      <c r="D83">
        <v>5</v>
      </c>
      <c r="E83" t="s">
        <v>92</v>
      </c>
      <c r="F83" t="s">
        <v>510</v>
      </c>
      <c r="H83">
        <f t="shared" si="14"/>
        <v>0</v>
      </c>
      <c r="I83">
        <f t="shared" si="15"/>
        <v>0</v>
      </c>
      <c r="K83" t="str">
        <f t="shared" si="9"/>
        <v/>
      </c>
      <c r="L83" t="s">
        <v>78</v>
      </c>
      <c r="M83" t="s">
        <v>100</v>
      </c>
      <c r="N83" t="s">
        <v>101</v>
      </c>
      <c r="O83" t="s">
        <v>530</v>
      </c>
    </row>
    <row r="84" spans="1:15" ht="14.25" customHeight="1">
      <c r="A84" t="s">
        <v>517</v>
      </c>
      <c r="B84" t="s">
        <v>518</v>
      </c>
      <c r="C84" t="s">
        <v>531</v>
      </c>
      <c r="D84">
        <v>5</v>
      </c>
      <c r="E84" t="s">
        <v>92</v>
      </c>
      <c r="F84" t="s">
        <v>361</v>
      </c>
      <c r="H84">
        <f t="shared" si="14"/>
        <v>0</v>
      </c>
      <c r="I84">
        <f t="shared" si="15"/>
        <v>0</v>
      </c>
      <c r="K84" t="str">
        <f t="shared" ref="K84:K115" si="16">IF(AND($E83="Y",$G83=0,$H83=1),"CRITICAL FAIL",IF($G83=-1,"EVIDENCE MISSING",""))</f>
        <v/>
      </c>
      <c r="L84" t="s">
        <v>93</v>
      </c>
      <c r="M84" t="s">
        <v>73</v>
      </c>
      <c r="N84" t="s">
        <v>74</v>
      </c>
      <c r="O84" t="s">
        <v>532</v>
      </c>
    </row>
    <row r="85" spans="1:15" ht="14.25" customHeight="1">
      <c r="A85" t="s">
        <v>517</v>
      </c>
      <c r="B85" t="s">
        <v>518</v>
      </c>
      <c r="C85" t="s">
        <v>533</v>
      </c>
      <c r="D85">
        <v>7</v>
      </c>
      <c r="E85" t="s">
        <v>69</v>
      </c>
      <c r="F85" t="s">
        <v>99</v>
      </c>
      <c r="H85">
        <f t="shared" si="14"/>
        <v>0</v>
      </c>
      <c r="I85">
        <f t="shared" si="15"/>
        <v>0</v>
      </c>
      <c r="K85" t="str">
        <f t="shared" si="16"/>
        <v/>
      </c>
      <c r="L85" t="s">
        <v>88</v>
      </c>
      <c r="M85" t="s">
        <v>100</v>
      </c>
      <c r="N85" t="s">
        <v>89</v>
      </c>
      <c r="O85" t="s">
        <v>534</v>
      </c>
    </row>
    <row r="86" spans="1:15" ht="14.25" customHeight="1">
      <c r="A86" t="s">
        <v>517</v>
      </c>
      <c r="B86" t="s">
        <v>518</v>
      </c>
      <c r="C86" t="s">
        <v>535</v>
      </c>
      <c r="D86">
        <v>6</v>
      </c>
      <c r="E86" t="s">
        <v>92</v>
      </c>
      <c r="F86" t="s">
        <v>391</v>
      </c>
      <c r="H86">
        <f t="shared" si="14"/>
        <v>0</v>
      </c>
      <c r="I86">
        <f t="shared" si="15"/>
        <v>0</v>
      </c>
      <c r="K86" t="str">
        <f t="shared" si="16"/>
        <v/>
      </c>
      <c r="L86" t="s">
        <v>78</v>
      </c>
      <c r="M86" t="s">
        <v>100</v>
      </c>
      <c r="N86" t="s">
        <v>112</v>
      </c>
      <c r="O86" t="s">
        <v>536</v>
      </c>
    </row>
    <row r="87" spans="1:15" ht="14.25" customHeight="1">
      <c r="A87" t="s">
        <v>517</v>
      </c>
      <c r="B87" t="s">
        <v>518</v>
      </c>
      <c r="C87" t="s">
        <v>537</v>
      </c>
      <c r="D87">
        <v>4</v>
      </c>
      <c r="E87" t="s">
        <v>92</v>
      </c>
      <c r="F87" t="s">
        <v>361</v>
      </c>
      <c r="H87">
        <f t="shared" si="14"/>
        <v>0</v>
      </c>
      <c r="I87">
        <f t="shared" si="15"/>
        <v>0</v>
      </c>
      <c r="K87" t="str">
        <f t="shared" si="16"/>
        <v/>
      </c>
      <c r="L87" t="s">
        <v>93</v>
      </c>
      <c r="M87" t="s">
        <v>73</v>
      </c>
      <c r="N87" t="s">
        <v>101</v>
      </c>
      <c r="O87" t="s">
        <v>538</v>
      </c>
    </row>
    <row r="88" spans="1:15" ht="14.25" customHeight="1">
      <c r="K88" t="str">
        <f t="shared" si="16"/>
        <v/>
      </c>
    </row>
    <row r="89" spans="1:15" ht="14.25" customHeight="1">
      <c r="A89" t="s">
        <v>539</v>
      </c>
      <c r="B89" t="s">
        <v>540</v>
      </c>
      <c r="C89" t="s">
        <v>541</v>
      </c>
      <c r="D89">
        <v>8</v>
      </c>
      <c r="E89" t="s">
        <v>69</v>
      </c>
      <c r="F89" t="s">
        <v>358</v>
      </c>
      <c r="H89">
        <f t="shared" ref="H89:H98" si="17">IF($B88=$B$1,1,0)</f>
        <v>1</v>
      </c>
      <c r="I89">
        <f t="shared" ref="I89:I98" si="18">IF(ISBLANK($G88),0,$D88*$G88*$H88)</f>
        <v>0</v>
      </c>
      <c r="K89" t="str">
        <f t="shared" si="16"/>
        <v/>
      </c>
      <c r="L89" t="s">
        <v>72</v>
      </c>
      <c r="M89" t="s">
        <v>73</v>
      </c>
      <c r="N89" t="s">
        <v>74</v>
      </c>
      <c r="O89" t="s">
        <v>542</v>
      </c>
    </row>
    <row r="90" spans="1:15" ht="14.25" customHeight="1">
      <c r="A90" t="s">
        <v>539</v>
      </c>
      <c r="B90" t="s">
        <v>540</v>
      </c>
      <c r="C90" t="s">
        <v>543</v>
      </c>
      <c r="D90">
        <v>7</v>
      </c>
      <c r="E90" t="s">
        <v>69</v>
      </c>
      <c r="F90" t="s">
        <v>361</v>
      </c>
      <c r="H90">
        <f t="shared" si="17"/>
        <v>0</v>
      </c>
      <c r="I90">
        <f t="shared" si="18"/>
        <v>0</v>
      </c>
      <c r="K90" t="str">
        <f t="shared" si="16"/>
        <v>CRITICAL FAIL</v>
      </c>
      <c r="L90" t="s">
        <v>72</v>
      </c>
      <c r="M90" t="s">
        <v>73</v>
      </c>
      <c r="N90" t="s">
        <v>125</v>
      </c>
      <c r="O90" t="s">
        <v>544</v>
      </c>
    </row>
    <row r="91" spans="1:15" ht="14.25" customHeight="1">
      <c r="A91" t="s">
        <v>539</v>
      </c>
      <c r="B91" t="s">
        <v>540</v>
      </c>
      <c r="C91" t="s">
        <v>545</v>
      </c>
      <c r="D91">
        <v>8</v>
      </c>
      <c r="E91" t="s">
        <v>69</v>
      </c>
      <c r="F91" t="s">
        <v>413</v>
      </c>
      <c r="H91">
        <f t="shared" si="17"/>
        <v>0</v>
      </c>
      <c r="I91">
        <f t="shared" si="18"/>
        <v>0</v>
      </c>
      <c r="K91" t="str">
        <f t="shared" si="16"/>
        <v/>
      </c>
      <c r="L91" t="s">
        <v>72</v>
      </c>
      <c r="M91" t="s">
        <v>73</v>
      </c>
      <c r="N91" t="s">
        <v>74</v>
      </c>
      <c r="O91" t="s">
        <v>546</v>
      </c>
    </row>
    <row r="92" spans="1:15" ht="14.25" customHeight="1">
      <c r="A92" t="s">
        <v>539</v>
      </c>
      <c r="B92" t="s">
        <v>540</v>
      </c>
      <c r="C92" t="s">
        <v>547</v>
      </c>
      <c r="D92">
        <v>9</v>
      </c>
      <c r="E92" t="s">
        <v>69</v>
      </c>
      <c r="F92" t="s">
        <v>503</v>
      </c>
      <c r="H92">
        <f t="shared" si="17"/>
        <v>0</v>
      </c>
      <c r="I92">
        <f t="shared" si="18"/>
        <v>0</v>
      </c>
      <c r="K92" t="str">
        <f t="shared" si="16"/>
        <v/>
      </c>
      <c r="L92" t="s">
        <v>72</v>
      </c>
      <c r="M92" t="s">
        <v>100</v>
      </c>
      <c r="N92" t="s">
        <v>89</v>
      </c>
      <c r="O92" t="s">
        <v>548</v>
      </c>
    </row>
    <row r="93" spans="1:15" ht="14.25" customHeight="1">
      <c r="A93" t="s">
        <v>539</v>
      </c>
      <c r="B93" t="s">
        <v>540</v>
      </c>
      <c r="C93" t="s">
        <v>549</v>
      </c>
      <c r="D93">
        <v>7</v>
      </c>
      <c r="E93" t="s">
        <v>69</v>
      </c>
      <c r="F93" t="s">
        <v>99</v>
      </c>
      <c r="H93">
        <f t="shared" si="17"/>
        <v>0</v>
      </c>
      <c r="I93">
        <f t="shared" si="18"/>
        <v>0</v>
      </c>
      <c r="K93" t="str">
        <f t="shared" si="16"/>
        <v/>
      </c>
      <c r="L93" t="s">
        <v>88</v>
      </c>
      <c r="M93" t="s">
        <v>100</v>
      </c>
      <c r="N93" t="s">
        <v>89</v>
      </c>
      <c r="O93" t="s">
        <v>550</v>
      </c>
    </row>
    <row r="94" spans="1:15" ht="14.25" customHeight="1">
      <c r="A94" t="s">
        <v>539</v>
      </c>
      <c r="B94" t="s">
        <v>540</v>
      </c>
      <c r="C94" t="s">
        <v>551</v>
      </c>
      <c r="D94">
        <v>8</v>
      </c>
      <c r="E94" t="s">
        <v>69</v>
      </c>
      <c r="F94" t="s">
        <v>99</v>
      </c>
      <c r="H94">
        <f t="shared" si="17"/>
        <v>0</v>
      </c>
      <c r="I94">
        <f t="shared" si="18"/>
        <v>0</v>
      </c>
      <c r="K94" t="str">
        <f t="shared" si="16"/>
        <v/>
      </c>
      <c r="L94" t="s">
        <v>88</v>
      </c>
      <c r="M94" t="s">
        <v>100</v>
      </c>
      <c r="N94" t="s">
        <v>89</v>
      </c>
      <c r="O94" t="s">
        <v>552</v>
      </c>
    </row>
    <row r="95" spans="1:15" ht="14.25" customHeight="1">
      <c r="A95" t="s">
        <v>539</v>
      </c>
      <c r="B95" t="s">
        <v>540</v>
      </c>
      <c r="C95" t="s">
        <v>426</v>
      </c>
      <c r="D95">
        <v>8</v>
      </c>
      <c r="E95" t="s">
        <v>69</v>
      </c>
      <c r="F95" t="s">
        <v>99</v>
      </c>
      <c r="H95">
        <f t="shared" si="17"/>
        <v>0</v>
      </c>
      <c r="I95">
        <f t="shared" si="18"/>
        <v>0</v>
      </c>
      <c r="K95" t="str">
        <f t="shared" si="16"/>
        <v/>
      </c>
      <c r="L95" t="s">
        <v>88</v>
      </c>
      <c r="M95" t="s">
        <v>100</v>
      </c>
      <c r="N95" t="s">
        <v>89</v>
      </c>
      <c r="O95" t="s">
        <v>553</v>
      </c>
    </row>
    <row r="96" spans="1:15" ht="14.25" customHeight="1">
      <c r="A96" t="s">
        <v>539</v>
      </c>
      <c r="B96" t="s">
        <v>540</v>
      </c>
      <c r="C96" t="s">
        <v>554</v>
      </c>
      <c r="D96">
        <v>7</v>
      </c>
      <c r="E96" t="s">
        <v>69</v>
      </c>
      <c r="F96" t="s">
        <v>555</v>
      </c>
      <c r="H96">
        <f t="shared" si="17"/>
        <v>0</v>
      </c>
      <c r="I96">
        <f t="shared" si="18"/>
        <v>0</v>
      </c>
      <c r="K96" t="str">
        <f t="shared" si="16"/>
        <v/>
      </c>
      <c r="L96" t="s">
        <v>72</v>
      </c>
      <c r="M96" t="s">
        <v>100</v>
      </c>
      <c r="N96" t="s">
        <v>125</v>
      </c>
      <c r="O96" t="s">
        <v>556</v>
      </c>
    </row>
    <row r="97" spans="1:15" ht="14.25" customHeight="1">
      <c r="A97" t="s">
        <v>539</v>
      </c>
      <c r="B97" t="s">
        <v>540</v>
      </c>
      <c r="C97" t="s">
        <v>557</v>
      </c>
      <c r="D97">
        <v>6</v>
      </c>
      <c r="E97" t="s">
        <v>92</v>
      </c>
      <c r="F97" t="s">
        <v>558</v>
      </c>
      <c r="H97">
        <f t="shared" si="17"/>
        <v>0</v>
      </c>
      <c r="I97">
        <f t="shared" si="18"/>
        <v>0</v>
      </c>
      <c r="K97" t="str">
        <f t="shared" si="16"/>
        <v/>
      </c>
      <c r="L97" t="s">
        <v>78</v>
      </c>
      <c r="M97" t="s">
        <v>100</v>
      </c>
      <c r="N97" t="s">
        <v>112</v>
      </c>
      <c r="O97" t="s">
        <v>559</v>
      </c>
    </row>
    <row r="98" spans="1:15" ht="14.25" customHeight="1">
      <c r="A98" t="s">
        <v>539</v>
      </c>
      <c r="B98" t="s">
        <v>540</v>
      </c>
      <c r="C98" t="s">
        <v>560</v>
      </c>
      <c r="D98">
        <v>5</v>
      </c>
      <c r="E98" t="s">
        <v>92</v>
      </c>
      <c r="F98" t="s">
        <v>405</v>
      </c>
      <c r="H98">
        <f t="shared" si="17"/>
        <v>0</v>
      </c>
      <c r="I98">
        <f t="shared" si="18"/>
        <v>0</v>
      </c>
      <c r="K98" t="str">
        <f t="shared" si="16"/>
        <v/>
      </c>
      <c r="L98" t="s">
        <v>78</v>
      </c>
      <c r="M98" t="s">
        <v>73</v>
      </c>
      <c r="N98" t="s">
        <v>125</v>
      </c>
      <c r="O98" t="s">
        <v>561</v>
      </c>
    </row>
    <row r="99" spans="1:15" ht="14.25" customHeight="1">
      <c r="K99" t="str">
        <f t="shared" si="16"/>
        <v/>
      </c>
    </row>
    <row r="100" spans="1:15" ht="14.25" customHeight="1">
      <c r="A100" t="s">
        <v>562</v>
      </c>
      <c r="B100" t="s">
        <v>563</v>
      </c>
      <c r="C100" t="s">
        <v>564</v>
      </c>
      <c r="D100">
        <v>9</v>
      </c>
      <c r="E100" t="s">
        <v>69</v>
      </c>
      <c r="F100" t="s">
        <v>361</v>
      </c>
      <c r="H100">
        <f t="shared" ref="H100:H109" si="19">IF($B99=$B$1,1,0)</f>
        <v>1</v>
      </c>
      <c r="I100">
        <f t="shared" ref="I100:I109" si="20">IF(ISBLANK($G99),0,$D99*$G99*$H99)</f>
        <v>0</v>
      </c>
      <c r="K100" t="str">
        <f t="shared" si="16"/>
        <v/>
      </c>
      <c r="L100" t="s">
        <v>72</v>
      </c>
      <c r="M100" t="s">
        <v>73</v>
      </c>
      <c r="N100" t="s">
        <v>74</v>
      </c>
      <c r="O100" t="s">
        <v>565</v>
      </c>
    </row>
    <row r="101" spans="1:15" ht="14.25" customHeight="1">
      <c r="A101" t="s">
        <v>562</v>
      </c>
      <c r="B101" t="s">
        <v>563</v>
      </c>
      <c r="C101" t="s">
        <v>566</v>
      </c>
      <c r="D101">
        <v>7</v>
      </c>
      <c r="E101" t="s">
        <v>69</v>
      </c>
      <c r="F101" t="s">
        <v>361</v>
      </c>
      <c r="H101">
        <f t="shared" si="19"/>
        <v>0</v>
      </c>
      <c r="I101">
        <f t="shared" si="20"/>
        <v>0</v>
      </c>
      <c r="K101" t="str">
        <f t="shared" si="16"/>
        <v>CRITICAL FAIL</v>
      </c>
      <c r="L101" t="s">
        <v>72</v>
      </c>
      <c r="M101" t="s">
        <v>73</v>
      </c>
      <c r="N101" t="s">
        <v>74</v>
      </c>
      <c r="O101" t="s">
        <v>567</v>
      </c>
    </row>
    <row r="102" spans="1:15" ht="14.25" customHeight="1">
      <c r="A102" t="s">
        <v>562</v>
      </c>
      <c r="B102" t="s">
        <v>563</v>
      </c>
      <c r="C102" t="s">
        <v>568</v>
      </c>
      <c r="D102">
        <v>7</v>
      </c>
      <c r="E102" t="s">
        <v>69</v>
      </c>
      <c r="F102" t="s">
        <v>569</v>
      </c>
      <c r="H102">
        <f t="shared" si="19"/>
        <v>0</v>
      </c>
      <c r="I102">
        <f t="shared" si="20"/>
        <v>0</v>
      </c>
      <c r="K102" t="str">
        <f t="shared" si="16"/>
        <v/>
      </c>
      <c r="L102" t="s">
        <v>78</v>
      </c>
      <c r="M102" t="s">
        <v>100</v>
      </c>
      <c r="N102" t="s">
        <v>125</v>
      </c>
      <c r="O102" t="s">
        <v>570</v>
      </c>
    </row>
    <row r="103" spans="1:15" ht="14.25" customHeight="1">
      <c r="A103" t="s">
        <v>562</v>
      </c>
      <c r="B103" t="s">
        <v>563</v>
      </c>
      <c r="C103" t="s">
        <v>571</v>
      </c>
      <c r="D103">
        <v>8</v>
      </c>
      <c r="E103" t="s">
        <v>69</v>
      </c>
      <c r="F103" t="s">
        <v>572</v>
      </c>
      <c r="H103">
        <f t="shared" si="19"/>
        <v>0</v>
      </c>
      <c r="I103">
        <f t="shared" si="20"/>
        <v>0</v>
      </c>
      <c r="K103" t="str">
        <f t="shared" si="16"/>
        <v/>
      </c>
      <c r="L103" t="s">
        <v>88</v>
      </c>
      <c r="M103" t="s">
        <v>100</v>
      </c>
      <c r="N103" t="s">
        <v>89</v>
      </c>
      <c r="O103" t="s">
        <v>573</v>
      </c>
    </row>
    <row r="104" spans="1:15" ht="14.25" customHeight="1">
      <c r="A104" t="s">
        <v>562</v>
      </c>
      <c r="B104" t="s">
        <v>563</v>
      </c>
      <c r="C104" t="s">
        <v>574</v>
      </c>
      <c r="D104">
        <v>6</v>
      </c>
      <c r="E104" t="s">
        <v>92</v>
      </c>
      <c r="F104" t="s">
        <v>575</v>
      </c>
      <c r="H104">
        <f t="shared" si="19"/>
        <v>0</v>
      </c>
      <c r="I104">
        <f t="shared" si="20"/>
        <v>0</v>
      </c>
      <c r="K104" t="str">
        <f t="shared" si="16"/>
        <v/>
      </c>
      <c r="L104" t="s">
        <v>78</v>
      </c>
      <c r="M104" t="s">
        <v>100</v>
      </c>
      <c r="N104" t="s">
        <v>112</v>
      </c>
      <c r="O104" t="s">
        <v>576</v>
      </c>
    </row>
    <row r="105" spans="1:15" ht="14.25" customHeight="1">
      <c r="A105" t="s">
        <v>562</v>
      </c>
      <c r="B105" t="s">
        <v>563</v>
      </c>
      <c r="C105" t="s">
        <v>577</v>
      </c>
      <c r="D105">
        <v>7</v>
      </c>
      <c r="E105" t="s">
        <v>69</v>
      </c>
      <c r="F105" t="s">
        <v>399</v>
      </c>
      <c r="H105">
        <f t="shared" si="19"/>
        <v>0</v>
      </c>
      <c r="I105">
        <f t="shared" si="20"/>
        <v>0</v>
      </c>
      <c r="K105" t="str">
        <f t="shared" si="16"/>
        <v/>
      </c>
      <c r="L105" t="s">
        <v>72</v>
      </c>
      <c r="M105" t="s">
        <v>100</v>
      </c>
      <c r="N105" t="s">
        <v>125</v>
      </c>
      <c r="O105" t="s">
        <v>578</v>
      </c>
    </row>
    <row r="106" spans="1:15" ht="14.25" customHeight="1">
      <c r="A106" t="s">
        <v>562</v>
      </c>
      <c r="B106" t="s">
        <v>563</v>
      </c>
      <c r="C106" t="s">
        <v>579</v>
      </c>
      <c r="D106">
        <v>6</v>
      </c>
      <c r="E106" t="s">
        <v>92</v>
      </c>
      <c r="F106" t="s">
        <v>396</v>
      </c>
      <c r="H106">
        <f t="shared" si="19"/>
        <v>0</v>
      </c>
      <c r="I106">
        <f t="shared" si="20"/>
        <v>0</v>
      </c>
      <c r="K106" t="str">
        <f t="shared" si="16"/>
        <v/>
      </c>
      <c r="L106" t="s">
        <v>78</v>
      </c>
      <c r="M106" t="s">
        <v>100</v>
      </c>
      <c r="N106" t="s">
        <v>125</v>
      </c>
      <c r="O106" t="s">
        <v>580</v>
      </c>
    </row>
    <row r="107" spans="1:15" ht="14.25" customHeight="1">
      <c r="A107" t="s">
        <v>562</v>
      </c>
      <c r="B107" t="s">
        <v>563</v>
      </c>
      <c r="C107" t="s">
        <v>581</v>
      </c>
      <c r="D107">
        <v>5</v>
      </c>
      <c r="E107" t="s">
        <v>92</v>
      </c>
      <c r="F107" t="s">
        <v>510</v>
      </c>
      <c r="H107">
        <f t="shared" si="19"/>
        <v>0</v>
      </c>
      <c r="I107">
        <f t="shared" si="20"/>
        <v>0</v>
      </c>
      <c r="K107" t="str">
        <f t="shared" si="16"/>
        <v/>
      </c>
      <c r="L107" t="s">
        <v>93</v>
      </c>
      <c r="M107" t="s">
        <v>100</v>
      </c>
      <c r="N107" t="s">
        <v>101</v>
      </c>
      <c r="O107" t="s">
        <v>582</v>
      </c>
    </row>
    <row r="108" spans="1:15" ht="14.25" customHeight="1">
      <c r="A108" t="s">
        <v>562</v>
      </c>
      <c r="B108" t="s">
        <v>563</v>
      </c>
      <c r="C108" t="s">
        <v>583</v>
      </c>
      <c r="D108">
        <v>7</v>
      </c>
      <c r="E108" t="s">
        <v>69</v>
      </c>
      <c r="F108" t="s">
        <v>99</v>
      </c>
      <c r="H108">
        <f t="shared" si="19"/>
        <v>0</v>
      </c>
      <c r="I108">
        <f t="shared" si="20"/>
        <v>0</v>
      </c>
      <c r="K108" t="str">
        <f t="shared" si="16"/>
        <v/>
      </c>
      <c r="L108" t="s">
        <v>88</v>
      </c>
      <c r="M108" t="s">
        <v>100</v>
      </c>
      <c r="N108" t="s">
        <v>89</v>
      </c>
      <c r="O108" t="s">
        <v>584</v>
      </c>
    </row>
    <row r="109" spans="1:15" ht="14.25" customHeight="1">
      <c r="A109" t="s">
        <v>562</v>
      </c>
      <c r="B109" t="s">
        <v>563</v>
      </c>
      <c r="C109" t="s">
        <v>585</v>
      </c>
      <c r="D109">
        <v>6</v>
      </c>
      <c r="E109" t="s">
        <v>92</v>
      </c>
      <c r="F109" t="s">
        <v>558</v>
      </c>
      <c r="H109">
        <f t="shared" si="19"/>
        <v>0</v>
      </c>
      <c r="I109">
        <f t="shared" si="20"/>
        <v>0</v>
      </c>
      <c r="K109" t="str">
        <f t="shared" si="16"/>
        <v/>
      </c>
      <c r="L109" t="s">
        <v>78</v>
      </c>
      <c r="M109" t="s">
        <v>100</v>
      </c>
      <c r="N109" t="s">
        <v>112</v>
      </c>
      <c r="O109" t="s">
        <v>586</v>
      </c>
    </row>
    <row r="110" spans="1:15" ht="14.25" customHeight="1">
      <c r="K110" t="str">
        <f t="shared" si="16"/>
        <v/>
      </c>
    </row>
    <row r="111" spans="1:15" ht="14.25" customHeight="1">
      <c r="A111" t="s">
        <v>587</v>
      </c>
      <c r="B111" t="s">
        <v>588</v>
      </c>
      <c r="C111" t="s">
        <v>589</v>
      </c>
      <c r="D111">
        <v>8</v>
      </c>
      <c r="E111" t="s">
        <v>69</v>
      </c>
      <c r="F111" t="s">
        <v>358</v>
      </c>
      <c r="H111">
        <f t="shared" ref="H111:H120" si="21">IF($B110=$B$1,1,0)</f>
        <v>1</v>
      </c>
      <c r="I111">
        <f t="shared" ref="I111:I120" si="22">IF(ISBLANK($G110),0,$D110*$G110*$H110)</f>
        <v>0</v>
      </c>
      <c r="K111" t="str">
        <f t="shared" si="16"/>
        <v/>
      </c>
      <c r="L111" t="s">
        <v>72</v>
      </c>
      <c r="M111" t="s">
        <v>73</v>
      </c>
      <c r="N111" t="s">
        <v>74</v>
      </c>
      <c r="O111" t="s">
        <v>590</v>
      </c>
    </row>
    <row r="112" spans="1:15" ht="14.25" customHeight="1">
      <c r="A112" t="s">
        <v>587</v>
      </c>
      <c r="B112" t="s">
        <v>588</v>
      </c>
      <c r="C112" t="s">
        <v>591</v>
      </c>
      <c r="D112">
        <v>7</v>
      </c>
      <c r="E112" t="s">
        <v>69</v>
      </c>
      <c r="F112" t="s">
        <v>361</v>
      </c>
      <c r="H112">
        <f t="shared" si="21"/>
        <v>0</v>
      </c>
      <c r="I112">
        <f t="shared" si="22"/>
        <v>0</v>
      </c>
      <c r="K112" t="str">
        <f t="shared" si="16"/>
        <v>CRITICAL FAIL</v>
      </c>
      <c r="L112" t="s">
        <v>72</v>
      </c>
      <c r="M112" t="s">
        <v>73</v>
      </c>
      <c r="N112" t="s">
        <v>125</v>
      </c>
      <c r="O112" t="s">
        <v>592</v>
      </c>
    </row>
    <row r="113" spans="1:15" ht="14.25" customHeight="1">
      <c r="A113" t="s">
        <v>587</v>
      </c>
      <c r="B113" t="s">
        <v>588</v>
      </c>
      <c r="C113" t="s">
        <v>593</v>
      </c>
      <c r="D113">
        <v>7</v>
      </c>
      <c r="E113" t="s">
        <v>69</v>
      </c>
      <c r="F113" t="s">
        <v>391</v>
      </c>
      <c r="H113">
        <f t="shared" si="21"/>
        <v>0</v>
      </c>
      <c r="I113">
        <f t="shared" si="22"/>
        <v>0</v>
      </c>
      <c r="K113" t="str">
        <f t="shared" si="16"/>
        <v/>
      </c>
      <c r="L113" t="s">
        <v>72</v>
      </c>
      <c r="M113" t="s">
        <v>100</v>
      </c>
      <c r="N113" t="s">
        <v>125</v>
      </c>
      <c r="O113" t="s">
        <v>594</v>
      </c>
    </row>
    <row r="114" spans="1:15" ht="14.25" customHeight="1">
      <c r="A114" t="s">
        <v>587</v>
      </c>
      <c r="B114" t="s">
        <v>588</v>
      </c>
      <c r="C114" t="s">
        <v>595</v>
      </c>
      <c r="D114">
        <v>7</v>
      </c>
      <c r="E114" t="s">
        <v>69</v>
      </c>
      <c r="F114" t="s">
        <v>503</v>
      </c>
      <c r="H114">
        <f t="shared" si="21"/>
        <v>0</v>
      </c>
      <c r="I114">
        <f t="shared" si="22"/>
        <v>0</v>
      </c>
      <c r="K114" t="str">
        <f t="shared" si="16"/>
        <v/>
      </c>
      <c r="L114" t="s">
        <v>72</v>
      </c>
      <c r="M114" t="s">
        <v>100</v>
      </c>
      <c r="N114" t="s">
        <v>125</v>
      </c>
      <c r="O114" t="s">
        <v>596</v>
      </c>
    </row>
    <row r="115" spans="1:15" ht="14.25" customHeight="1">
      <c r="A115" t="s">
        <v>587</v>
      </c>
      <c r="B115" t="s">
        <v>588</v>
      </c>
      <c r="C115" t="s">
        <v>597</v>
      </c>
      <c r="D115">
        <v>8</v>
      </c>
      <c r="E115" t="s">
        <v>69</v>
      </c>
      <c r="F115" t="s">
        <v>396</v>
      </c>
      <c r="H115">
        <f t="shared" si="21"/>
        <v>0</v>
      </c>
      <c r="I115">
        <f t="shared" si="22"/>
        <v>0</v>
      </c>
      <c r="K115" t="str">
        <f t="shared" si="16"/>
        <v/>
      </c>
      <c r="L115" t="s">
        <v>88</v>
      </c>
      <c r="M115" t="s">
        <v>100</v>
      </c>
      <c r="N115" t="s">
        <v>89</v>
      </c>
      <c r="O115" t="s">
        <v>598</v>
      </c>
    </row>
    <row r="116" spans="1:15" ht="14.25" customHeight="1">
      <c r="A116" t="s">
        <v>587</v>
      </c>
      <c r="B116" t="s">
        <v>588</v>
      </c>
      <c r="C116" t="s">
        <v>599</v>
      </c>
      <c r="D116">
        <v>7</v>
      </c>
      <c r="E116" t="s">
        <v>69</v>
      </c>
      <c r="F116" t="s">
        <v>399</v>
      </c>
      <c r="H116">
        <f t="shared" si="21"/>
        <v>0</v>
      </c>
      <c r="I116">
        <f t="shared" si="22"/>
        <v>0</v>
      </c>
      <c r="K116" t="str">
        <f t="shared" ref="K116:K131" si="23">IF(AND($E115="Y",$G115=0,$H115=1),"CRITICAL FAIL",IF($G115=-1,"EVIDENCE MISSING",""))</f>
        <v/>
      </c>
      <c r="L116" t="s">
        <v>72</v>
      </c>
      <c r="M116" t="s">
        <v>100</v>
      </c>
      <c r="N116" t="s">
        <v>125</v>
      </c>
      <c r="O116" t="s">
        <v>600</v>
      </c>
    </row>
    <row r="117" spans="1:15" ht="14.25" customHeight="1">
      <c r="A117" t="s">
        <v>587</v>
      </c>
      <c r="B117" t="s">
        <v>588</v>
      </c>
      <c r="C117" t="s">
        <v>601</v>
      </c>
      <c r="D117">
        <v>6</v>
      </c>
      <c r="E117" t="s">
        <v>92</v>
      </c>
      <c r="F117" t="s">
        <v>558</v>
      </c>
      <c r="H117">
        <f t="shared" si="21"/>
        <v>0</v>
      </c>
      <c r="I117">
        <f t="shared" si="22"/>
        <v>0</v>
      </c>
      <c r="K117" t="str">
        <f t="shared" si="23"/>
        <v/>
      </c>
      <c r="L117" t="s">
        <v>78</v>
      </c>
      <c r="M117" t="s">
        <v>100</v>
      </c>
      <c r="N117" t="s">
        <v>112</v>
      </c>
      <c r="O117" t="s">
        <v>559</v>
      </c>
    </row>
    <row r="118" spans="1:15" ht="14.25" customHeight="1">
      <c r="A118" t="s">
        <v>587</v>
      </c>
      <c r="B118" t="s">
        <v>588</v>
      </c>
      <c r="C118" t="s">
        <v>602</v>
      </c>
      <c r="D118">
        <v>6</v>
      </c>
      <c r="E118" t="s">
        <v>92</v>
      </c>
      <c r="F118" t="s">
        <v>396</v>
      </c>
      <c r="H118">
        <f t="shared" si="21"/>
        <v>0</v>
      </c>
      <c r="I118">
        <f t="shared" si="22"/>
        <v>0</v>
      </c>
      <c r="K118" t="str">
        <f t="shared" si="23"/>
        <v/>
      </c>
      <c r="L118" t="s">
        <v>78</v>
      </c>
      <c r="M118" t="s">
        <v>100</v>
      </c>
      <c r="N118" t="s">
        <v>125</v>
      </c>
      <c r="O118" t="s">
        <v>603</v>
      </c>
    </row>
    <row r="119" spans="1:15" ht="14.25" customHeight="1">
      <c r="A119" t="s">
        <v>587</v>
      </c>
      <c r="B119" t="s">
        <v>588</v>
      </c>
      <c r="C119" t="s">
        <v>604</v>
      </c>
      <c r="D119">
        <v>7</v>
      </c>
      <c r="E119" t="s">
        <v>69</v>
      </c>
      <c r="F119" t="s">
        <v>99</v>
      </c>
      <c r="H119">
        <f t="shared" si="21"/>
        <v>0</v>
      </c>
      <c r="I119">
        <f t="shared" si="22"/>
        <v>0</v>
      </c>
      <c r="K119" t="str">
        <f t="shared" si="23"/>
        <v/>
      </c>
      <c r="L119" t="s">
        <v>88</v>
      </c>
      <c r="M119" t="s">
        <v>100</v>
      </c>
      <c r="N119" t="s">
        <v>89</v>
      </c>
      <c r="O119" t="s">
        <v>605</v>
      </c>
    </row>
    <row r="120" spans="1:15" ht="14.25" customHeight="1">
      <c r="A120" t="s">
        <v>587</v>
      </c>
      <c r="B120" t="s">
        <v>588</v>
      </c>
      <c r="C120" t="s">
        <v>606</v>
      </c>
      <c r="D120">
        <v>4</v>
      </c>
      <c r="E120" t="s">
        <v>92</v>
      </c>
      <c r="F120" t="s">
        <v>358</v>
      </c>
      <c r="H120">
        <f t="shared" si="21"/>
        <v>0</v>
      </c>
      <c r="I120">
        <f t="shared" si="22"/>
        <v>0</v>
      </c>
      <c r="K120" t="str">
        <f t="shared" si="23"/>
        <v/>
      </c>
      <c r="L120" t="s">
        <v>93</v>
      </c>
      <c r="M120" t="s">
        <v>73</v>
      </c>
      <c r="N120" t="s">
        <v>101</v>
      </c>
      <c r="O120" t="s">
        <v>607</v>
      </c>
    </row>
    <row r="121" spans="1:15" ht="14.25" customHeight="1">
      <c r="K121" t="str">
        <f t="shared" si="23"/>
        <v/>
      </c>
    </row>
    <row r="122" spans="1:15" ht="14.25" customHeight="1">
      <c r="A122" t="s">
        <v>608</v>
      </c>
      <c r="B122" t="s">
        <v>215</v>
      </c>
      <c r="C122" t="s">
        <v>609</v>
      </c>
      <c r="D122">
        <v>8</v>
      </c>
      <c r="E122" t="s">
        <v>69</v>
      </c>
      <c r="F122" t="s">
        <v>377</v>
      </c>
      <c r="H122">
        <f t="shared" ref="H122:H131" si="24">IF($B121=$B$1,1,0)</f>
        <v>1</v>
      </c>
      <c r="I122">
        <f t="shared" ref="I122:I131" si="25">IF(ISBLANK($G121),0,$D121*$G121*$H121)</f>
        <v>0</v>
      </c>
      <c r="K122" t="str">
        <f t="shared" si="23"/>
        <v/>
      </c>
      <c r="L122" t="s">
        <v>72</v>
      </c>
      <c r="M122" t="s">
        <v>100</v>
      </c>
      <c r="N122" t="s">
        <v>112</v>
      </c>
      <c r="O122" t="s">
        <v>610</v>
      </c>
    </row>
    <row r="123" spans="1:15" ht="14.25" customHeight="1">
      <c r="A123" t="s">
        <v>608</v>
      </c>
      <c r="B123" t="s">
        <v>215</v>
      </c>
      <c r="C123" t="s">
        <v>611</v>
      </c>
      <c r="D123">
        <v>9</v>
      </c>
      <c r="E123" t="s">
        <v>69</v>
      </c>
      <c r="F123" t="s">
        <v>515</v>
      </c>
      <c r="H123">
        <f t="shared" si="24"/>
        <v>0</v>
      </c>
      <c r="I123">
        <f t="shared" si="25"/>
        <v>0</v>
      </c>
      <c r="K123" t="str">
        <f t="shared" si="23"/>
        <v>CRITICAL FAIL</v>
      </c>
      <c r="L123" t="s">
        <v>88</v>
      </c>
      <c r="M123" t="s">
        <v>100</v>
      </c>
      <c r="N123" t="s">
        <v>89</v>
      </c>
      <c r="O123" t="s">
        <v>612</v>
      </c>
    </row>
    <row r="124" spans="1:15" ht="14.25" customHeight="1">
      <c r="A124" t="s">
        <v>608</v>
      </c>
      <c r="B124" t="s">
        <v>215</v>
      </c>
      <c r="C124" t="s">
        <v>613</v>
      </c>
      <c r="D124">
        <v>9</v>
      </c>
      <c r="E124" t="s">
        <v>69</v>
      </c>
      <c r="F124" t="s">
        <v>515</v>
      </c>
      <c r="H124">
        <f t="shared" si="24"/>
        <v>0</v>
      </c>
      <c r="I124">
        <f t="shared" si="25"/>
        <v>0</v>
      </c>
      <c r="K124" t="str">
        <f t="shared" si="23"/>
        <v/>
      </c>
      <c r="L124" t="s">
        <v>88</v>
      </c>
      <c r="M124" t="s">
        <v>100</v>
      </c>
      <c r="N124" t="s">
        <v>89</v>
      </c>
      <c r="O124" t="s">
        <v>614</v>
      </c>
    </row>
    <row r="125" spans="1:15" ht="14.25" customHeight="1">
      <c r="A125" t="s">
        <v>608</v>
      </c>
      <c r="B125" t="s">
        <v>215</v>
      </c>
      <c r="C125" t="s">
        <v>615</v>
      </c>
      <c r="D125">
        <v>8</v>
      </c>
      <c r="E125" t="s">
        <v>69</v>
      </c>
      <c r="F125" t="s">
        <v>616</v>
      </c>
      <c r="H125">
        <f t="shared" si="24"/>
        <v>0</v>
      </c>
      <c r="I125">
        <f t="shared" si="25"/>
        <v>0</v>
      </c>
      <c r="K125" t="str">
        <f t="shared" si="23"/>
        <v/>
      </c>
      <c r="L125" t="s">
        <v>72</v>
      </c>
      <c r="M125" t="s">
        <v>100</v>
      </c>
      <c r="N125" t="s">
        <v>89</v>
      </c>
      <c r="O125" t="s">
        <v>617</v>
      </c>
    </row>
    <row r="126" spans="1:15" ht="14.25" customHeight="1">
      <c r="A126" t="s">
        <v>608</v>
      </c>
      <c r="B126" t="s">
        <v>215</v>
      </c>
      <c r="C126" t="s">
        <v>618</v>
      </c>
      <c r="D126">
        <v>9</v>
      </c>
      <c r="E126" t="s">
        <v>69</v>
      </c>
      <c r="F126" t="s">
        <v>99</v>
      </c>
      <c r="H126">
        <f t="shared" si="24"/>
        <v>0</v>
      </c>
      <c r="I126">
        <f t="shared" si="25"/>
        <v>0</v>
      </c>
      <c r="K126" t="str">
        <f t="shared" si="23"/>
        <v/>
      </c>
      <c r="L126" t="s">
        <v>88</v>
      </c>
      <c r="M126" t="s">
        <v>100</v>
      </c>
      <c r="N126" t="s">
        <v>89</v>
      </c>
      <c r="O126" t="s">
        <v>619</v>
      </c>
    </row>
    <row r="127" spans="1:15" ht="14.25" customHeight="1">
      <c r="A127" t="s">
        <v>608</v>
      </c>
      <c r="B127" t="s">
        <v>215</v>
      </c>
      <c r="C127" t="s">
        <v>620</v>
      </c>
      <c r="D127">
        <v>7</v>
      </c>
      <c r="E127" t="s">
        <v>69</v>
      </c>
      <c r="F127" t="s">
        <v>621</v>
      </c>
      <c r="H127">
        <f t="shared" si="24"/>
        <v>0</v>
      </c>
      <c r="I127">
        <f t="shared" si="25"/>
        <v>0</v>
      </c>
      <c r="K127" t="str">
        <f t="shared" si="23"/>
        <v/>
      </c>
      <c r="L127" t="s">
        <v>72</v>
      </c>
      <c r="M127" t="s">
        <v>100</v>
      </c>
      <c r="N127" t="s">
        <v>112</v>
      </c>
      <c r="O127" t="s">
        <v>622</v>
      </c>
    </row>
    <row r="128" spans="1:15" ht="14.25" customHeight="1">
      <c r="A128" t="s">
        <v>608</v>
      </c>
      <c r="B128" t="s">
        <v>215</v>
      </c>
      <c r="C128" t="s">
        <v>623</v>
      </c>
      <c r="D128">
        <v>7</v>
      </c>
      <c r="E128" t="s">
        <v>69</v>
      </c>
      <c r="F128" t="s">
        <v>503</v>
      </c>
      <c r="H128">
        <f t="shared" si="24"/>
        <v>0</v>
      </c>
      <c r="I128">
        <f t="shared" si="25"/>
        <v>0</v>
      </c>
      <c r="K128" t="str">
        <f t="shared" si="23"/>
        <v/>
      </c>
      <c r="L128" t="s">
        <v>88</v>
      </c>
      <c r="M128" t="s">
        <v>100</v>
      </c>
      <c r="N128" t="s">
        <v>89</v>
      </c>
      <c r="O128" t="s">
        <v>624</v>
      </c>
    </row>
    <row r="129" spans="1:15" ht="14.25" customHeight="1">
      <c r="A129" t="s">
        <v>608</v>
      </c>
      <c r="B129" t="s">
        <v>215</v>
      </c>
      <c r="C129" t="s">
        <v>625</v>
      </c>
      <c r="D129">
        <v>5</v>
      </c>
      <c r="E129" t="s">
        <v>92</v>
      </c>
      <c r="F129" t="s">
        <v>361</v>
      </c>
      <c r="H129">
        <f t="shared" si="24"/>
        <v>0</v>
      </c>
      <c r="I129">
        <f t="shared" si="25"/>
        <v>0</v>
      </c>
      <c r="K129" t="str">
        <f t="shared" si="23"/>
        <v/>
      </c>
      <c r="L129" t="s">
        <v>93</v>
      </c>
      <c r="M129" t="s">
        <v>73</v>
      </c>
      <c r="N129" t="s">
        <v>112</v>
      </c>
      <c r="O129" t="s">
        <v>626</v>
      </c>
    </row>
    <row r="130" spans="1:15" ht="14.25" customHeight="1">
      <c r="A130" t="s">
        <v>608</v>
      </c>
      <c r="B130" t="s">
        <v>215</v>
      </c>
      <c r="C130" t="s">
        <v>627</v>
      </c>
      <c r="D130">
        <v>6</v>
      </c>
      <c r="E130" t="s">
        <v>92</v>
      </c>
      <c r="F130" t="s">
        <v>99</v>
      </c>
      <c r="H130">
        <f t="shared" si="24"/>
        <v>0</v>
      </c>
      <c r="I130">
        <f t="shared" si="25"/>
        <v>0</v>
      </c>
      <c r="K130" t="str">
        <f t="shared" si="23"/>
        <v/>
      </c>
      <c r="L130" t="s">
        <v>78</v>
      </c>
      <c r="M130" t="s">
        <v>100</v>
      </c>
      <c r="N130" t="s">
        <v>101</v>
      </c>
      <c r="O130" t="s">
        <v>628</v>
      </c>
    </row>
    <row r="131" spans="1:15" ht="14.25" customHeight="1">
      <c r="A131" t="s">
        <v>608</v>
      </c>
      <c r="B131" t="s">
        <v>215</v>
      </c>
      <c r="C131" t="s">
        <v>629</v>
      </c>
      <c r="D131">
        <v>6</v>
      </c>
      <c r="E131" t="s">
        <v>92</v>
      </c>
      <c r="F131" t="s">
        <v>558</v>
      </c>
      <c r="H131">
        <f t="shared" si="24"/>
        <v>0</v>
      </c>
      <c r="I131">
        <f t="shared" si="25"/>
        <v>0</v>
      </c>
      <c r="K131" t="str">
        <f t="shared" si="23"/>
        <v/>
      </c>
      <c r="L131" t="s">
        <v>78</v>
      </c>
      <c r="M131" t="s">
        <v>100</v>
      </c>
      <c r="N131" t="s">
        <v>112</v>
      </c>
      <c r="O131" t="s">
        <v>630</v>
      </c>
    </row>
    <row r="133" spans="1:15" ht="14.25" customHeight="1">
      <c r="A133" t="s">
        <v>297</v>
      </c>
    </row>
    <row r="134" spans="1:15" ht="14.25" customHeight="1">
      <c r="A134" t="s">
        <v>631</v>
      </c>
      <c r="B134">
        <f>SUMPRODUCT(D5:D130,H5:H130)</f>
        <v>57</v>
      </c>
    </row>
    <row r="135" spans="1:15" ht="14.25" customHeight="1">
      <c r="A135" t="s">
        <v>299</v>
      </c>
      <c r="B135">
        <f>SUM(I5:I130)</f>
        <v>0</v>
      </c>
    </row>
    <row r="136" spans="1:15" ht="14.25" customHeight="1">
      <c r="A136" t="s">
        <v>300</v>
      </c>
      <c r="B136">
        <f>IFERROR(B134/B133,0)</f>
        <v>0</v>
      </c>
    </row>
    <row r="137" spans="1:15" ht="14.25" customHeight="1">
      <c r="A137" t="s">
        <v>301</v>
      </c>
      <c r="B137">
        <f>COUNTIF(G5:G130,-1)</f>
        <v>0</v>
      </c>
    </row>
    <row r="138" spans="1:15" ht="14.25" customHeight="1">
      <c r="A138" t="s">
        <v>302</v>
      </c>
    </row>
  </sheetData>
  <dataValidations count="1">
    <dataValidation type="list" allowBlank="1" showInputMessage="1" showErrorMessage="1" sqref="L5:L130" xr:uid="{00000000-0002-0000-0100-000000000000}">
      <formula1>Severity_List</formula1>
      <formula2>0</formula2>
    </dataValidation>
  </dataValidation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9"/>
  <sheetViews>
    <sheetView zoomScaleNormal="100" workbookViewId="0">
      <pane ySplit="4" topLeftCell="A5" activePane="bottomLeft" state="frozen"/>
      <selection pane="bottomLeft" sqref="A1:L1"/>
    </sheetView>
  </sheetViews>
  <sheetFormatPr defaultColWidth="8.6640625" defaultRowHeight="14.4"/>
  <cols>
    <col min="1" max="1" width="10" customWidth="1"/>
    <col min="2" max="2" width="28" customWidth="1"/>
    <col min="3" max="3" width="10" customWidth="1"/>
    <col min="4" max="5" width="12" customWidth="1"/>
    <col min="6" max="6" width="22" customWidth="1"/>
    <col min="7" max="7" width="18" customWidth="1"/>
    <col min="8" max="8" width="12" customWidth="1"/>
    <col min="9" max="9" width="22" customWidth="1"/>
    <col min="10" max="10" width="55" customWidth="1"/>
    <col min="11" max="11" width="20" customWidth="1"/>
    <col min="12" max="12" width="8" customWidth="1"/>
  </cols>
  <sheetData>
    <row r="1" spans="1:12" ht="27.75" customHeight="1">
      <c r="A1" s="62" t="s">
        <v>632</v>
      </c>
      <c r="B1" s="62"/>
      <c r="C1" s="62"/>
      <c r="D1" s="62"/>
      <c r="E1" s="62"/>
      <c r="F1" s="62"/>
      <c r="G1" s="62"/>
      <c r="H1" s="62"/>
      <c r="I1" s="62"/>
      <c r="J1" s="62"/>
      <c r="K1" s="62"/>
      <c r="L1" s="62"/>
    </row>
    <row r="2" spans="1:12" ht="36" customHeight="1">
      <c r="A2" s="63" t="s">
        <v>633</v>
      </c>
      <c r="B2" s="63"/>
      <c r="C2" s="63"/>
      <c r="D2" s="63"/>
      <c r="E2" s="63"/>
      <c r="F2" s="63"/>
      <c r="G2" s="63"/>
      <c r="H2" s="63"/>
      <c r="I2" s="63"/>
      <c r="J2" s="63"/>
      <c r="K2" s="63"/>
      <c r="L2" s="63"/>
    </row>
    <row r="3" spans="1:12" ht="42" customHeight="1">
      <c r="A3" s="64" t="s">
        <v>634</v>
      </c>
      <c r="B3" s="64"/>
      <c r="C3" s="64"/>
      <c r="D3" s="64"/>
      <c r="E3" s="64"/>
      <c r="F3" s="64"/>
      <c r="G3" s="64"/>
      <c r="H3" s="64"/>
      <c r="I3" s="64"/>
      <c r="J3" s="64"/>
      <c r="K3" s="64"/>
      <c r="L3" s="64"/>
    </row>
    <row r="4" spans="1:12" ht="21.75" customHeight="1">
      <c r="A4" s="21" t="s">
        <v>635</v>
      </c>
      <c r="B4" s="21" t="s">
        <v>636</v>
      </c>
      <c r="C4" s="21" t="s">
        <v>637</v>
      </c>
      <c r="D4" s="21" t="s">
        <v>638</v>
      </c>
      <c r="E4" s="21" t="s">
        <v>639</v>
      </c>
      <c r="F4" s="21" t="s">
        <v>640</v>
      </c>
      <c r="G4" s="21" t="s">
        <v>641</v>
      </c>
      <c r="H4" s="21" t="s">
        <v>642</v>
      </c>
      <c r="I4" s="21" t="s">
        <v>643</v>
      </c>
      <c r="J4" s="21" t="s">
        <v>644</v>
      </c>
      <c r="K4" s="21" t="s">
        <v>645</v>
      </c>
      <c r="L4" s="21" t="s">
        <v>646</v>
      </c>
    </row>
    <row r="5" spans="1:12" ht="27.75" customHeight="1">
      <c r="A5" s="56" t="s">
        <v>647</v>
      </c>
      <c r="B5" s="56"/>
      <c r="C5" s="56"/>
      <c r="D5" s="56"/>
      <c r="E5" s="56"/>
      <c r="F5" s="56"/>
      <c r="G5" s="56"/>
      <c r="H5" s="56"/>
      <c r="I5" s="56"/>
      <c r="J5" s="56"/>
      <c r="K5" s="56"/>
      <c r="L5" s="56"/>
    </row>
    <row r="6" spans="1:12" ht="30" customHeight="1">
      <c r="A6" s="49" t="s">
        <v>648</v>
      </c>
      <c r="B6" s="50" t="s">
        <v>649</v>
      </c>
      <c r="C6" s="49" t="s">
        <v>650</v>
      </c>
      <c r="D6" s="49">
        <v>25</v>
      </c>
      <c r="E6" s="49" t="s">
        <v>651</v>
      </c>
      <c r="F6" s="49" t="s">
        <v>652</v>
      </c>
      <c r="G6" s="50" t="s">
        <v>653</v>
      </c>
      <c r="H6" s="49" t="s">
        <v>351</v>
      </c>
      <c r="I6" s="50" t="s">
        <v>654</v>
      </c>
      <c r="J6" s="50" t="s">
        <v>655</v>
      </c>
      <c r="K6" s="50" t="s">
        <v>656</v>
      </c>
      <c r="L6" s="49" t="s">
        <v>69</v>
      </c>
    </row>
    <row r="7" spans="1:12" ht="30" customHeight="1">
      <c r="A7" s="51" t="s">
        <v>657</v>
      </c>
      <c r="B7" s="52" t="s">
        <v>649</v>
      </c>
      <c r="C7" s="51" t="s">
        <v>650</v>
      </c>
      <c r="D7" s="51">
        <v>50</v>
      </c>
      <c r="E7" s="51" t="s">
        <v>651</v>
      </c>
      <c r="F7" s="51" t="s">
        <v>658</v>
      </c>
      <c r="G7" s="52" t="s">
        <v>653</v>
      </c>
      <c r="H7" s="51" t="s">
        <v>351</v>
      </c>
      <c r="I7" s="52" t="s">
        <v>654</v>
      </c>
      <c r="J7" s="52" t="s">
        <v>659</v>
      </c>
      <c r="K7" s="52" t="s">
        <v>656</v>
      </c>
      <c r="L7" s="51" t="s">
        <v>69</v>
      </c>
    </row>
    <row r="8" spans="1:12" ht="30" customHeight="1">
      <c r="A8" s="49" t="s">
        <v>660</v>
      </c>
      <c r="B8" s="50" t="s">
        <v>661</v>
      </c>
      <c r="C8" s="49" t="s">
        <v>650</v>
      </c>
      <c r="D8" s="49">
        <v>3000</v>
      </c>
      <c r="E8" s="49" t="s">
        <v>662</v>
      </c>
      <c r="F8" s="49" t="s">
        <v>663</v>
      </c>
      <c r="G8" s="50" t="s">
        <v>664</v>
      </c>
      <c r="H8" s="49" t="s">
        <v>351</v>
      </c>
      <c r="I8" s="50" t="s">
        <v>665</v>
      </c>
      <c r="J8" s="50" t="s">
        <v>666</v>
      </c>
      <c r="K8" s="50" t="s">
        <v>656</v>
      </c>
      <c r="L8" s="49" t="s">
        <v>69</v>
      </c>
    </row>
    <row r="9" spans="1:12" ht="30" customHeight="1">
      <c r="A9" s="51" t="s">
        <v>667</v>
      </c>
      <c r="B9" s="52" t="s">
        <v>668</v>
      </c>
      <c r="C9" s="51" t="s">
        <v>650</v>
      </c>
      <c r="D9" s="51">
        <v>10000</v>
      </c>
      <c r="E9" s="51" t="s">
        <v>662</v>
      </c>
      <c r="F9" s="51" t="s">
        <v>669</v>
      </c>
      <c r="G9" s="52" t="s">
        <v>670</v>
      </c>
      <c r="H9" s="51" t="s">
        <v>351</v>
      </c>
      <c r="I9" s="52" t="s">
        <v>671</v>
      </c>
      <c r="J9" s="52" t="s">
        <v>672</v>
      </c>
      <c r="K9" s="52" t="s">
        <v>656</v>
      </c>
      <c r="L9" s="51" t="s">
        <v>69</v>
      </c>
    </row>
    <row r="10" spans="1:12" ht="27.75" customHeight="1">
      <c r="A10" s="55" t="s">
        <v>673</v>
      </c>
      <c r="B10" s="55"/>
      <c r="C10" s="55"/>
      <c r="D10" s="55"/>
      <c r="E10" s="55"/>
      <c r="F10" s="55"/>
      <c r="G10" s="55"/>
      <c r="H10" s="55"/>
      <c r="I10" s="55"/>
      <c r="J10" s="55"/>
      <c r="K10" s="55"/>
      <c r="L10" s="55"/>
    </row>
    <row r="11" spans="1:12" ht="30" customHeight="1">
      <c r="A11" s="51" t="s">
        <v>674</v>
      </c>
      <c r="B11" s="52" t="s">
        <v>675</v>
      </c>
      <c r="C11" s="51" t="s">
        <v>650</v>
      </c>
      <c r="D11" s="51">
        <v>150</v>
      </c>
      <c r="E11" s="51" t="s">
        <v>676</v>
      </c>
      <c r="F11" s="51" t="s">
        <v>677</v>
      </c>
      <c r="G11" s="52" t="s">
        <v>678</v>
      </c>
      <c r="H11" s="51" t="s">
        <v>78</v>
      </c>
      <c r="I11" s="52" t="s">
        <v>679</v>
      </c>
      <c r="J11" s="52" t="s">
        <v>680</v>
      </c>
      <c r="K11" s="52" t="s">
        <v>681</v>
      </c>
      <c r="L11" s="51" t="s">
        <v>69</v>
      </c>
    </row>
    <row r="12" spans="1:12" ht="30" customHeight="1">
      <c r="A12" s="49" t="s">
        <v>682</v>
      </c>
      <c r="B12" s="50" t="s">
        <v>683</v>
      </c>
      <c r="C12" s="49" t="s">
        <v>650</v>
      </c>
      <c r="D12" s="49">
        <v>500</v>
      </c>
      <c r="E12" s="49" t="s">
        <v>676</v>
      </c>
      <c r="F12" s="49" t="s">
        <v>684</v>
      </c>
      <c r="G12" s="50" t="s">
        <v>678</v>
      </c>
      <c r="H12" s="49" t="s">
        <v>351</v>
      </c>
      <c r="I12" s="50" t="s">
        <v>679</v>
      </c>
      <c r="J12" s="50" t="s">
        <v>685</v>
      </c>
      <c r="K12" s="50" t="s">
        <v>686</v>
      </c>
      <c r="L12" s="49" t="s">
        <v>69</v>
      </c>
    </row>
    <row r="13" spans="1:12" ht="30" customHeight="1">
      <c r="A13" s="51" t="s">
        <v>687</v>
      </c>
      <c r="B13" s="52" t="s">
        <v>688</v>
      </c>
      <c r="C13" s="51" t="s">
        <v>689</v>
      </c>
      <c r="D13" s="51">
        <v>0</v>
      </c>
      <c r="E13" s="51"/>
      <c r="F13" s="51" t="s">
        <v>677</v>
      </c>
      <c r="G13" s="52" t="s">
        <v>678</v>
      </c>
      <c r="H13" s="51" t="s">
        <v>78</v>
      </c>
      <c r="I13" s="52" t="s">
        <v>679</v>
      </c>
      <c r="J13" s="52" t="s">
        <v>690</v>
      </c>
      <c r="K13" s="52" t="s">
        <v>135</v>
      </c>
      <c r="L13" s="51" t="s">
        <v>69</v>
      </c>
    </row>
    <row r="14" spans="1:12" ht="27.75" customHeight="1">
      <c r="A14" s="54" t="s">
        <v>691</v>
      </c>
      <c r="B14" s="54"/>
      <c r="C14" s="54"/>
      <c r="D14" s="54"/>
      <c r="E14" s="54"/>
      <c r="F14" s="54"/>
      <c r="G14" s="54"/>
      <c r="H14" s="54"/>
      <c r="I14" s="54"/>
      <c r="J14" s="54"/>
      <c r="K14" s="54"/>
      <c r="L14" s="54"/>
    </row>
    <row r="15" spans="1:12" ht="30" customHeight="1">
      <c r="A15" s="51" t="s">
        <v>692</v>
      </c>
      <c r="B15" s="52" t="s">
        <v>693</v>
      </c>
      <c r="C15" s="51" t="s">
        <v>689</v>
      </c>
      <c r="D15" s="51">
        <v>0</v>
      </c>
      <c r="E15" s="51"/>
      <c r="F15" s="51" t="s">
        <v>694</v>
      </c>
      <c r="G15" s="52" t="s">
        <v>695</v>
      </c>
      <c r="H15" s="51" t="s">
        <v>78</v>
      </c>
      <c r="I15" s="52" t="s">
        <v>696</v>
      </c>
      <c r="J15" s="52" t="s">
        <v>697</v>
      </c>
      <c r="K15" s="52" t="s">
        <v>681</v>
      </c>
      <c r="L15" s="51" t="s">
        <v>69</v>
      </c>
    </row>
    <row r="16" spans="1:12" ht="30" customHeight="1">
      <c r="A16" s="49" t="s">
        <v>698</v>
      </c>
      <c r="B16" s="50" t="s">
        <v>699</v>
      </c>
      <c r="C16" s="49" t="s">
        <v>650</v>
      </c>
      <c r="D16" s="49">
        <v>45</v>
      </c>
      <c r="E16" s="49" t="s">
        <v>651</v>
      </c>
      <c r="F16" s="49" t="s">
        <v>700</v>
      </c>
      <c r="G16" s="50" t="s">
        <v>695</v>
      </c>
      <c r="H16" s="49" t="s">
        <v>351</v>
      </c>
      <c r="I16" s="50" t="s">
        <v>701</v>
      </c>
      <c r="J16" s="50" t="s">
        <v>702</v>
      </c>
      <c r="K16" s="50" t="s">
        <v>681</v>
      </c>
      <c r="L16" s="49" t="s">
        <v>69</v>
      </c>
    </row>
    <row r="17" spans="1:12" ht="30" customHeight="1">
      <c r="A17" s="51" t="s">
        <v>703</v>
      </c>
      <c r="B17" s="52" t="s">
        <v>704</v>
      </c>
      <c r="C17" s="51" t="s">
        <v>650</v>
      </c>
      <c r="D17" s="51">
        <v>25</v>
      </c>
      <c r="E17" s="51" t="s">
        <v>651</v>
      </c>
      <c r="F17" s="51" t="s">
        <v>705</v>
      </c>
      <c r="G17" s="52" t="s">
        <v>695</v>
      </c>
      <c r="H17" s="51" t="s">
        <v>78</v>
      </c>
      <c r="I17" s="52" t="s">
        <v>706</v>
      </c>
      <c r="J17" s="52" t="s">
        <v>707</v>
      </c>
      <c r="K17" s="52" t="s">
        <v>681</v>
      </c>
      <c r="L17" s="51" t="s">
        <v>69</v>
      </c>
    </row>
    <row r="18" spans="1:12" ht="30" customHeight="1">
      <c r="A18" s="49" t="s">
        <v>708</v>
      </c>
      <c r="B18" s="50" t="s">
        <v>709</v>
      </c>
      <c r="C18" s="49" t="s">
        <v>650</v>
      </c>
      <c r="D18" s="49">
        <v>40</v>
      </c>
      <c r="E18" s="49" t="s">
        <v>651</v>
      </c>
      <c r="F18" s="49" t="s">
        <v>710</v>
      </c>
      <c r="G18" s="50" t="s">
        <v>711</v>
      </c>
      <c r="H18" s="49" t="s">
        <v>351</v>
      </c>
      <c r="I18" s="50" t="s">
        <v>712</v>
      </c>
      <c r="J18" s="50" t="s">
        <v>713</v>
      </c>
      <c r="K18" s="50" t="s">
        <v>681</v>
      </c>
      <c r="L18" s="49" t="s">
        <v>69</v>
      </c>
    </row>
    <row r="19" spans="1:12" ht="30" customHeight="1">
      <c r="A19" s="51" t="s">
        <v>714</v>
      </c>
      <c r="B19" s="52" t="s">
        <v>715</v>
      </c>
      <c r="C19" s="51" t="s">
        <v>650</v>
      </c>
      <c r="D19" s="51">
        <v>1200</v>
      </c>
      <c r="E19" s="51" t="s">
        <v>651</v>
      </c>
      <c r="F19" s="51" t="s">
        <v>716</v>
      </c>
      <c r="G19" s="52" t="s">
        <v>695</v>
      </c>
      <c r="H19" s="51" t="s">
        <v>78</v>
      </c>
      <c r="I19" s="52" t="s">
        <v>717</v>
      </c>
      <c r="J19" s="52" t="s">
        <v>718</v>
      </c>
      <c r="K19" s="52" t="s">
        <v>681</v>
      </c>
      <c r="L19" s="51" t="s">
        <v>69</v>
      </c>
    </row>
    <row r="20" spans="1:12" ht="30" customHeight="1">
      <c r="A20" s="49" t="s">
        <v>719</v>
      </c>
      <c r="B20" s="50" t="s">
        <v>720</v>
      </c>
      <c r="C20" s="49" t="s">
        <v>650</v>
      </c>
      <c r="D20" s="49">
        <v>200</v>
      </c>
      <c r="E20" s="49" t="s">
        <v>676</v>
      </c>
      <c r="F20" s="49" t="s">
        <v>721</v>
      </c>
      <c r="G20" s="50" t="s">
        <v>711</v>
      </c>
      <c r="H20" s="49" t="s">
        <v>78</v>
      </c>
      <c r="I20" s="50" t="s">
        <v>722</v>
      </c>
      <c r="J20" s="50" t="s">
        <v>723</v>
      </c>
      <c r="K20" s="50" t="s">
        <v>681</v>
      </c>
      <c r="L20" s="49" t="s">
        <v>69</v>
      </c>
    </row>
    <row r="21" spans="1:12" ht="27.75" customHeight="1">
      <c r="A21" s="61" t="s">
        <v>724</v>
      </c>
      <c r="B21" s="61"/>
      <c r="C21" s="61"/>
      <c r="D21" s="61"/>
      <c r="E21" s="61"/>
      <c r="F21" s="61"/>
      <c r="G21" s="61"/>
      <c r="H21" s="61"/>
      <c r="I21" s="61"/>
      <c r="J21" s="61"/>
      <c r="K21" s="61"/>
      <c r="L21" s="61"/>
    </row>
    <row r="22" spans="1:12" ht="30" customHeight="1">
      <c r="A22" s="49" t="s">
        <v>725</v>
      </c>
      <c r="B22" s="50" t="s">
        <v>726</v>
      </c>
      <c r="C22" s="49" t="s">
        <v>689</v>
      </c>
      <c r="D22" s="49">
        <v>0</v>
      </c>
      <c r="E22" s="49"/>
      <c r="F22" s="49" t="s">
        <v>727</v>
      </c>
      <c r="G22" s="50" t="s">
        <v>728</v>
      </c>
      <c r="H22" s="49" t="s">
        <v>351</v>
      </c>
      <c r="I22" s="50" t="s">
        <v>729</v>
      </c>
      <c r="J22" s="50" t="s">
        <v>730</v>
      </c>
      <c r="K22" s="50" t="s">
        <v>656</v>
      </c>
      <c r="L22" s="49" t="s">
        <v>69</v>
      </c>
    </row>
    <row r="23" spans="1:12" ht="30" customHeight="1">
      <c r="A23" s="51" t="s">
        <v>731</v>
      </c>
      <c r="B23" s="52" t="s">
        <v>732</v>
      </c>
      <c r="C23" s="51" t="s">
        <v>650</v>
      </c>
      <c r="D23" s="51">
        <v>3000</v>
      </c>
      <c r="E23" s="51" t="s">
        <v>651</v>
      </c>
      <c r="F23" s="51" t="s">
        <v>727</v>
      </c>
      <c r="G23" s="52" t="s">
        <v>733</v>
      </c>
      <c r="H23" s="51" t="s">
        <v>78</v>
      </c>
      <c r="I23" s="52" t="s">
        <v>734</v>
      </c>
      <c r="J23" s="52" t="s">
        <v>735</v>
      </c>
      <c r="K23" s="52" t="s">
        <v>736</v>
      </c>
      <c r="L23" s="51" t="s">
        <v>69</v>
      </c>
    </row>
    <row r="24" spans="1:12" ht="30" customHeight="1">
      <c r="A24" s="49" t="s">
        <v>737</v>
      </c>
      <c r="B24" s="50" t="s">
        <v>738</v>
      </c>
      <c r="C24" s="49" t="s">
        <v>689</v>
      </c>
      <c r="D24" s="49">
        <v>0</v>
      </c>
      <c r="E24" s="49"/>
      <c r="F24" s="49" t="s">
        <v>727</v>
      </c>
      <c r="G24" s="50" t="s">
        <v>733</v>
      </c>
      <c r="H24" s="49" t="s">
        <v>78</v>
      </c>
      <c r="I24" s="50" t="s">
        <v>739</v>
      </c>
      <c r="J24" s="50" t="s">
        <v>740</v>
      </c>
      <c r="K24" s="50" t="s">
        <v>741</v>
      </c>
      <c r="L24" s="49" t="s">
        <v>69</v>
      </c>
    </row>
    <row r="25" spans="1:12" ht="30" customHeight="1">
      <c r="A25" s="51" t="s">
        <v>742</v>
      </c>
      <c r="B25" s="52" t="s">
        <v>743</v>
      </c>
      <c r="C25" s="51" t="s">
        <v>689</v>
      </c>
      <c r="D25" s="51">
        <v>0</v>
      </c>
      <c r="E25" s="51"/>
      <c r="F25" s="51" t="s">
        <v>744</v>
      </c>
      <c r="G25" s="52" t="s">
        <v>728</v>
      </c>
      <c r="H25" s="51" t="s">
        <v>351</v>
      </c>
      <c r="I25" s="52" t="s">
        <v>745</v>
      </c>
      <c r="J25" s="52" t="s">
        <v>746</v>
      </c>
      <c r="K25" s="52" t="s">
        <v>741</v>
      </c>
      <c r="L25" s="51" t="s">
        <v>69</v>
      </c>
    </row>
    <row r="26" spans="1:12" ht="30" customHeight="1">
      <c r="A26" s="49" t="s">
        <v>747</v>
      </c>
      <c r="B26" s="50" t="s">
        <v>748</v>
      </c>
      <c r="C26" s="49" t="s">
        <v>650</v>
      </c>
      <c r="D26" s="49">
        <v>500</v>
      </c>
      <c r="E26" s="49" t="s">
        <v>651</v>
      </c>
      <c r="F26" s="49" t="s">
        <v>727</v>
      </c>
      <c r="G26" s="50" t="s">
        <v>749</v>
      </c>
      <c r="H26" s="49" t="s">
        <v>78</v>
      </c>
      <c r="I26" s="50" t="s">
        <v>750</v>
      </c>
      <c r="J26" s="50" t="s">
        <v>751</v>
      </c>
      <c r="K26" s="50" t="s">
        <v>752</v>
      </c>
      <c r="L26" s="49" t="s">
        <v>69</v>
      </c>
    </row>
    <row r="27" spans="1:12" ht="27.75" customHeight="1">
      <c r="A27" s="60" t="s">
        <v>753</v>
      </c>
      <c r="B27" s="60"/>
      <c r="C27" s="60"/>
      <c r="D27" s="60"/>
      <c r="E27" s="60"/>
      <c r="F27" s="60"/>
      <c r="G27" s="60"/>
      <c r="H27" s="60"/>
      <c r="I27" s="60"/>
      <c r="J27" s="60"/>
      <c r="K27" s="60"/>
      <c r="L27" s="60"/>
    </row>
    <row r="28" spans="1:12" ht="30" customHeight="1">
      <c r="A28" s="49" t="s">
        <v>754</v>
      </c>
      <c r="B28" s="50" t="s">
        <v>755</v>
      </c>
      <c r="C28" s="49" t="s">
        <v>650</v>
      </c>
      <c r="D28" s="49">
        <v>800</v>
      </c>
      <c r="E28" s="49" t="s">
        <v>676</v>
      </c>
      <c r="F28" s="49" t="s">
        <v>669</v>
      </c>
      <c r="G28" s="50" t="s">
        <v>670</v>
      </c>
      <c r="H28" s="49" t="s">
        <v>351</v>
      </c>
      <c r="I28" s="50" t="s">
        <v>756</v>
      </c>
      <c r="J28" s="50" t="s">
        <v>757</v>
      </c>
      <c r="K28" s="50" t="s">
        <v>656</v>
      </c>
      <c r="L28" s="49" t="s">
        <v>69</v>
      </c>
    </row>
    <row r="29" spans="1:12" ht="30" customHeight="1">
      <c r="A29" s="51" t="s">
        <v>758</v>
      </c>
      <c r="B29" s="52" t="s">
        <v>759</v>
      </c>
      <c r="C29" s="51" t="s">
        <v>689</v>
      </c>
      <c r="D29" s="51">
        <v>0</v>
      </c>
      <c r="E29" s="51"/>
      <c r="F29" s="51" t="s">
        <v>669</v>
      </c>
      <c r="G29" s="52" t="s">
        <v>760</v>
      </c>
      <c r="H29" s="51" t="s">
        <v>351</v>
      </c>
      <c r="I29" s="52" t="s">
        <v>756</v>
      </c>
      <c r="J29" s="52" t="s">
        <v>761</v>
      </c>
      <c r="K29" s="52" t="s">
        <v>741</v>
      </c>
      <c r="L29" s="51" t="s">
        <v>69</v>
      </c>
    </row>
    <row r="30" spans="1:12" ht="30" customHeight="1">
      <c r="A30" s="49" t="s">
        <v>762</v>
      </c>
      <c r="B30" s="50" t="s">
        <v>763</v>
      </c>
      <c r="C30" s="49" t="s">
        <v>650</v>
      </c>
      <c r="D30" s="49">
        <v>10</v>
      </c>
      <c r="E30" s="49" t="s">
        <v>651</v>
      </c>
      <c r="F30" s="49" t="s">
        <v>669</v>
      </c>
      <c r="G30" s="50" t="s">
        <v>764</v>
      </c>
      <c r="H30" s="49" t="s">
        <v>78</v>
      </c>
      <c r="I30" s="50" t="s">
        <v>671</v>
      </c>
      <c r="J30" s="50" t="s">
        <v>765</v>
      </c>
      <c r="K30" s="50" t="s">
        <v>656</v>
      </c>
      <c r="L30" s="49" t="s">
        <v>69</v>
      </c>
    </row>
    <row r="31" spans="1:12" ht="30" customHeight="1">
      <c r="A31" s="51" t="s">
        <v>766</v>
      </c>
      <c r="B31" s="52" t="s">
        <v>767</v>
      </c>
      <c r="C31" s="51" t="s">
        <v>689</v>
      </c>
      <c r="D31" s="51">
        <v>0</v>
      </c>
      <c r="E31" s="51"/>
      <c r="F31" s="51" t="s">
        <v>768</v>
      </c>
      <c r="G31" s="52" t="s">
        <v>769</v>
      </c>
      <c r="H31" s="51" t="s">
        <v>239</v>
      </c>
      <c r="I31" s="52" t="s">
        <v>770</v>
      </c>
      <c r="J31" s="52" t="s">
        <v>771</v>
      </c>
      <c r="K31" s="52" t="s">
        <v>656</v>
      </c>
      <c r="L31" s="51" t="s">
        <v>69</v>
      </c>
    </row>
    <row r="32" spans="1:12" ht="30" customHeight="1">
      <c r="A32" s="49" t="s">
        <v>772</v>
      </c>
      <c r="B32" s="50" t="s">
        <v>773</v>
      </c>
      <c r="C32" s="49" t="s">
        <v>650</v>
      </c>
      <c r="D32" s="49">
        <v>4000</v>
      </c>
      <c r="E32" s="49" t="s">
        <v>662</v>
      </c>
      <c r="F32" s="49" t="s">
        <v>663</v>
      </c>
      <c r="G32" s="50" t="s">
        <v>774</v>
      </c>
      <c r="H32" s="49" t="s">
        <v>78</v>
      </c>
      <c r="I32" s="50" t="s">
        <v>775</v>
      </c>
      <c r="J32" s="50" t="s">
        <v>776</v>
      </c>
      <c r="K32" s="50" t="s">
        <v>656</v>
      </c>
      <c r="L32" s="49" t="s">
        <v>69</v>
      </c>
    </row>
    <row r="33" spans="1:12" ht="27.75" customHeight="1">
      <c r="A33" s="56" t="s">
        <v>777</v>
      </c>
      <c r="B33" s="56"/>
      <c r="C33" s="56"/>
      <c r="D33" s="56"/>
      <c r="E33" s="56"/>
      <c r="F33" s="56"/>
      <c r="G33" s="56"/>
      <c r="H33" s="56"/>
      <c r="I33" s="56"/>
      <c r="J33" s="56"/>
      <c r="K33" s="56"/>
      <c r="L33" s="56"/>
    </row>
    <row r="34" spans="1:12" ht="30" customHeight="1">
      <c r="A34" s="49" t="s">
        <v>778</v>
      </c>
      <c r="B34" s="50" t="s">
        <v>779</v>
      </c>
      <c r="C34" s="49" t="s">
        <v>650</v>
      </c>
      <c r="D34" s="49">
        <v>1000</v>
      </c>
      <c r="E34" s="49" t="s">
        <v>651</v>
      </c>
      <c r="F34" s="49" t="s">
        <v>780</v>
      </c>
      <c r="G34" s="50" t="s">
        <v>781</v>
      </c>
      <c r="H34" s="49" t="s">
        <v>78</v>
      </c>
      <c r="I34" s="50" t="s">
        <v>782</v>
      </c>
      <c r="J34" s="50" t="s">
        <v>783</v>
      </c>
      <c r="K34" s="50" t="s">
        <v>656</v>
      </c>
      <c r="L34" s="49" t="s">
        <v>69</v>
      </c>
    </row>
    <row r="35" spans="1:12" ht="30" customHeight="1">
      <c r="A35" s="51" t="s">
        <v>784</v>
      </c>
      <c r="B35" s="52" t="s">
        <v>785</v>
      </c>
      <c r="C35" s="51" t="s">
        <v>650</v>
      </c>
      <c r="D35" s="51">
        <v>350</v>
      </c>
      <c r="E35" s="51" t="s">
        <v>651</v>
      </c>
      <c r="F35" s="51" t="s">
        <v>780</v>
      </c>
      <c r="G35" s="52" t="s">
        <v>781</v>
      </c>
      <c r="H35" s="51" t="s">
        <v>78</v>
      </c>
      <c r="I35" s="52" t="s">
        <v>786</v>
      </c>
      <c r="J35" s="52" t="s">
        <v>787</v>
      </c>
      <c r="K35" s="52" t="s">
        <v>681</v>
      </c>
      <c r="L35" s="51" t="s">
        <v>69</v>
      </c>
    </row>
    <row r="36" spans="1:12" ht="30" customHeight="1">
      <c r="A36" s="49" t="s">
        <v>788</v>
      </c>
      <c r="B36" s="50" t="s">
        <v>789</v>
      </c>
      <c r="C36" s="49" t="s">
        <v>689</v>
      </c>
      <c r="D36" s="49">
        <v>0</v>
      </c>
      <c r="E36" s="49"/>
      <c r="F36" s="49" t="s">
        <v>780</v>
      </c>
      <c r="G36" s="50" t="s">
        <v>781</v>
      </c>
      <c r="H36" s="49" t="s">
        <v>93</v>
      </c>
      <c r="I36" s="50" t="s">
        <v>790</v>
      </c>
      <c r="J36" s="50" t="s">
        <v>791</v>
      </c>
      <c r="K36" s="50" t="s">
        <v>792</v>
      </c>
      <c r="L36" s="49" t="s">
        <v>69</v>
      </c>
    </row>
    <row r="37" spans="1:12" ht="30" customHeight="1">
      <c r="A37" s="51" t="s">
        <v>793</v>
      </c>
      <c r="B37" s="52" t="s">
        <v>794</v>
      </c>
      <c r="C37" s="51" t="s">
        <v>650</v>
      </c>
      <c r="D37" s="51">
        <v>400</v>
      </c>
      <c r="E37" s="51" t="s">
        <v>651</v>
      </c>
      <c r="F37" s="51" t="s">
        <v>795</v>
      </c>
      <c r="G37" s="52" t="s">
        <v>796</v>
      </c>
      <c r="H37" s="51" t="s">
        <v>78</v>
      </c>
      <c r="I37" s="52" t="s">
        <v>797</v>
      </c>
      <c r="J37" s="52" t="s">
        <v>798</v>
      </c>
      <c r="K37" s="52" t="s">
        <v>799</v>
      </c>
      <c r="L37" s="51" t="s">
        <v>69</v>
      </c>
    </row>
    <row r="38" spans="1:12" ht="30" customHeight="1">
      <c r="A38" s="49" t="s">
        <v>800</v>
      </c>
      <c r="B38" s="50" t="s">
        <v>801</v>
      </c>
      <c r="C38" s="49" t="s">
        <v>650</v>
      </c>
      <c r="D38" s="49">
        <v>500</v>
      </c>
      <c r="E38" s="49" t="s">
        <v>651</v>
      </c>
      <c r="F38" s="49" t="s">
        <v>795</v>
      </c>
      <c r="G38" s="50" t="s">
        <v>796</v>
      </c>
      <c r="H38" s="49" t="s">
        <v>78</v>
      </c>
      <c r="I38" s="50" t="s">
        <v>802</v>
      </c>
      <c r="J38" s="50" t="s">
        <v>803</v>
      </c>
      <c r="K38" s="50" t="s">
        <v>656</v>
      </c>
      <c r="L38" s="49" t="s">
        <v>69</v>
      </c>
    </row>
    <row r="39" spans="1:12" ht="27.75" customHeight="1">
      <c r="A39" s="54" t="s">
        <v>804</v>
      </c>
      <c r="B39" s="54"/>
      <c r="C39" s="54"/>
      <c r="D39" s="54"/>
      <c r="E39" s="54"/>
      <c r="F39" s="54"/>
      <c r="G39" s="54"/>
      <c r="H39" s="54"/>
      <c r="I39" s="54"/>
      <c r="J39" s="54"/>
      <c r="K39" s="54"/>
      <c r="L39" s="54"/>
    </row>
    <row r="40" spans="1:12" ht="30" customHeight="1">
      <c r="A40" s="49" t="s">
        <v>805</v>
      </c>
      <c r="B40" s="50" t="s">
        <v>806</v>
      </c>
      <c r="C40" s="49" t="s">
        <v>807</v>
      </c>
      <c r="D40" s="49">
        <v>0</v>
      </c>
      <c r="E40" s="49"/>
      <c r="F40" s="49" t="s">
        <v>808</v>
      </c>
      <c r="G40" s="50" t="s">
        <v>809</v>
      </c>
      <c r="H40" s="49" t="s">
        <v>351</v>
      </c>
      <c r="I40" s="50" t="s">
        <v>810</v>
      </c>
      <c r="J40" s="50" t="s">
        <v>811</v>
      </c>
      <c r="K40" s="50" t="s">
        <v>812</v>
      </c>
      <c r="L40" s="49" t="s">
        <v>69</v>
      </c>
    </row>
    <row r="41" spans="1:12" ht="30" customHeight="1">
      <c r="A41" s="51" t="s">
        <v>813</v>
      </c>
      <c r="B41" s="52" t="s">
        <v>789</v>
      </c>
      <c r="C41" s="51" t="s">
        <v>689</v>
      </c>
      <c r="D41" s="51">
        <v>0</v>
      </c>
      <c r="E41" s="51"/>
      <c r="F41" s="51" t="s">
        <v>814</v>
      </c>
      <c r="G41" s="52" t="s">
        <v>809</v>
      </c>
      <c r="H41" s="51" t="s">
        <v>93</v>
      </c>
      <c r="I41" s="52" t="s">
        <v>815</v>
      </c>
      <c r="J41" s="52" t="s">
        <v>816</v>
      </c>
      <c r="K41" s="52" t="s">
        <v>817</v>
      </c>
      <c r="L41" s="51" t="s">
        <v>69</v>
      </c>
    </row>
    <row r="42" spans="1:12" ht="30" customHeight="1">
      <c r="A42" s="49" t="s">
        <v>818</v>
      </c>
      <c r="B42" s="50" t="s">
        <v>819</v>
      </c>
      <c r="C42" s="49" t="s">
        <v>650</v>
      </c>
      <c r="D42" s="49">
        <v>200</v>
      </c>
      <c r="E42" s="49" t="s">
        <v>651</v>
      </c>
      <c r="F42" s="49" t="s">
        <v>820</v>
      </c>
      <c r="G42" s="50" t="s">
        <v>821</v>
      </c>
      <c r="H42" s="49" t="s">
        <v>78</v>
      </c>
      <c r="I42" s="50" t="s">
        <v>822</v>
      </c>
      <c r="J42" s="50" t="s">
        <v>823</v>
      </c>
      <c r="K42" s="50" t="s">
        <v>70</v>
      </c>
      <c r="L42" s="49" t="s">
        <v>69</v>
      </c>
    </row>
    <row r="43" spans="1:12" ht="30" customHeight="1">
      <c r="A43" s="51" t="s">
        <v>824</v>
      </c>
      <c r="B43" s="52" t="s">
        <v>825</v>
      </c>
      <c r="C43" s="51" t="s">
        <v>650</v>
      </c>
      <c r="D43" s="51">
        <v>3200</v>
      </c>
      <c r="E43" s="51" t="s">
        <v>651</v>
      </c>
      <c r="F43" s="51" t="s">
        <v>826</v>
      </c>
      <c r="G43" s="52" t="s">
        <v>827</v>
      </c>
      <c r="H43" s="51" t="s">
        <v>93</v>
      </c>
      <c r="I43" s="52" t="s">
        <v>828</v>
      </c>
      <c r="J43" s="52" t="s">
        <v>829</v>
      </c>
      <c r="K43" s="52" t="s">
        <v>792</v>
      </c>
      <c r="L43" s="51" t="s">
        <v>69</v>
      </c>
    </row>
    <row r="44" spans="1:12" ht="27.75" customHeight="1">
      <c r="A44" s="59" t="s">
        <v>830</v>
      </c>
      <c r="B44" s="59"/>
      <c r="C44" s="59"/>
      <c r="D44" s="59"/>
      <c r="E44" s="59"/>
      <c r="F44" s="59"/>
      <c r="G44" s="59"/>
      <c r="H44" s="59"/>
      <c r="I44" s="59"/>
      <c r="J44" s="59"/>
      <c r="K44" s="59"/>
      <c r="L44" s="59"/>
    </row>
    <row r="45" spans="1:12" ht="30" customHeight="1">
      <c r="A45" s="51" t="s">
        <v>831</v>
      </c>
      <c r="B45" s="52" t="s">
        <v>832</v>
      </c>
      <c r="C45" s="51" t="s">
        <v>689</v>
      </c>
      <c r="D45" s="51">
        <v>0</v>
      </c>
      <c r="E45" s="51"/>
      <c r="F45" s="51" t="s">
        <v>833</v>
      </c>
      <c r="G45" s="52" t="s">
        <v>834</v>
      </c>
      <c r="H45" s="51" t="s">
        <v>351</v>
      </c>
      <c r="I45" s="52" t="s">
        <v>835</v>
      </c>
      <c r="J45" s="52" t="s">
        <v>836</v>
      </c>
      <c r="K45" s="52" t="s">
        <v>752</v>
      </c>
      <c r="L45" s="51" t="s">
        <v>69</v>
      </c>
    </row>
    <row r="46" spans="1:12" ht="30" customHeight="1">
      <c r="A46" s="49" t="s">
        <v>837</v>
      </c>
      <c r="B46" s="50" t="s">
        <v>838</v>
      </c>
      <c r="C46" s="49" t="s">
        <v>650</v>
      </c>
      <c r="D46" s="49">
        <v>200</v>
      </c>
      <c r="E46" s="49" t="s">
        <v>676</v>
      </c>
      <c r="F46" s="49" t="s">
        <v>833</v>
      </c>
      <c r="G46" s="50" t="s">
        <v>834</v>
      </c>
      <c r="H46" s="49" t="s">
        <v>78</v>
      </c>
      <c r="I46" s="50" t="s">
        <v>839</v>
      </c>
      <c r="J46" s="50" t="s">
        <v>840</v>
      </c>
      <c r="K46" s="50" t="s">
        <v>681</v>
      </c>
      <c r="L46" s="49" t="s">
        <v>69</v>
      </c>
    </row>
    <row r="47" spans="1:12" ht="30" customHeight="1">
      <c r="A47" s="51" t="s">
        <v>841</v>
      </c>
      <c r="B47" s="52" t="s">
        <v>842</v>
      </c>
      <c r="C47" s="51" t="s">
        <v>650</v>
      </c>
      <c r="D47" s="51">
        <v>300</v>
      </c>
      <c r="E47" s="51" t="s">
        <v>651</v>
      </c>
      <c r="F47" s="51" t="s">
        <v>833</v>
      </c>
      <c r="G47" s="52" t="s">
        <v>834</v>
      </c>
      <c r="H47" s="51" t="s">
        <v>78</v>
      </c>
      <c r="I47" s="52" t="s">
        <v>843</v>
      </c>
      <c r="J47" s="52" t="s">
        <v>844</v>
      </c>
      <c r="K47" s="52" t="s">
        <v>845</v>
      </c>
      <c r="L47" s="51" t="s">
        <v>69</v>
      </c>
    </row>
    <row r="48" spans="1:12" ht="27.75" customHeight="1">
      <c r="A48" s="60" t="s">
        <v>846</v>
      </c>
      <c r="B48" s="60"/>
      <c r="C48" s="60"/>
      <c r="D48" s="60"/>
      <c r="E48" s="60"/>
      <c r="F48" s="60"/>
      <c r="G48" s="60"/>
      <c r="H48" s="60"/>
      <c r="I48" s="60"/>
      <c r="J48" s="60"/>
      <c r="K48" s="60"/>
      <c r="L48" s="60"/>
    </row>
    <row r="49" spans="1:12" ht="30" customHeight="1">
      <c r="A49" s="51" t="s">
        <v>847</v>
      </c>
      <c r="B49" s="52" t="s">
        <v>848</v>
      </c>
      <c r="C49" s="51" t="s">
        <v>689</v>
      </c>
      <c r="D49" s="51">
        <v>0</v>
      </c>
      <c r="E49" s="51"/>
      <c r="F49" s="51" t="s">
        <v>849</v>
      </c>
      <c r="G49" s="52" t="s">
        <v>850</v>
      </c>
      <c r="H49" s="51" t="s">
        <v>78</v>
      </c>
      <c r="I49" s="52" t="s">
        <v>851</v>
      </c>
      <c r="J49" s="52" t="s">
        <v>852</v>
      </c>
      <c r="K49" s="52" t="s">
        <v>656</v>
      </c>
      <c r="L49" s="51" t="s">
        <v>69</v>
      </c>
    </row>
    <row r="50" spans="1:12" ht="30" customHeight="1">
      <c r="A50" s="49" t="s">
        <v>853</v>
      </c>
      <c r="B50" s="50" t="s">
        <v>854</v>
      </c>
      <c r="C50" s="49" t="s">
        <v>689</v>
      </c>
      <c r="D50" s="49">
        <v>0</v>
      </c>
      <c r="E50" s="49"/>
      <c r="F50" s="49" t="s">
        <v>849</v>
      </c>
      <c r="G50" s="50" t="s">
        <v>850</v>
      </c>
      <c r="H50" s="49" t="s">
        <v>93</v>
      </c>
      <c r="I50" s="50" t="s">
        <v>855</v>
      </c>
      <c r="J50" s="50" t="s">
        <v>856</v>
      </c>
      <c r="K50" s="50" t="s">
        <v>656</v>
      </c>
      <c r="L50" s="49" t="s">
        <v>69</v>
      </c>
    </row>
    <row r="51" spans="1:12" ht="30" customHeight="1">
      <c r="A51" s="51" t="s">
        <v>857</v>
      </c>
      <c r="B51" s="52" t="s">
        <v>858</v>
      </c>
      <c r="C51" s="51" t="s">
        <v>689</v>
      </c>
      <c r="D51" s="51">
        <v>0</v>
      </c>
      <c r="E51" s="51"/>
      <c r="F51" s="51" t="s">
        <v>849</v>
      </c>
      <c r="G51" s="52" t="s">
        <v>859</v>
      </c>
      <c r="H51" s="51" t="s">
        <v>78</v>
      </c>
      <c r="I51" s="52" t="s">
        <v>860</v>
      </c>
      <c r="J51" s="52" t="s">
        <v>861</v>
      </c>
      <c r="K51" s="52" t="s">
        <v>70</v>
      </c>
      <c r="L51" s="51" t="s">
        <v>69</v>
      </c>
    </row>
    <row r="52" spans="1:12" ht="27.75" customHeight="1">
      <c r="A52" s="56" t="s">
        <v>862</v>
      </c>
      <c r="B52" s="56"/>
      <c r="C52" s="56"/>
      <c r="D52" s="56"/>
      <c r="E52" s="56"/>
      <c r="F52" s="56"/>
      <c r="G52" s="56"/>
      <c r="H52" s="56"/>
      <c r="I52" s="56"/>
      <c r="J52" s="56"/>
      <c r="K52" s="56"/>
      <c r="L52" s="56"/>
    </row>
    <row r="53" spans="1:12" ht="30" customHeight="1">
      <c r="A53" s="51" t="s">
        <v>863</v>
      </c>
      <c r="B53" s="52" t="s">
        <v>864</v>
      </c>
      <c r="C53" s="51" t="s">
        <v>689</v>
      </c>
      <c r="D53" s="51">
        <v>0</v>
      </c>
      <c r="E53" s="51"/>
      <c r="F53" s="51" t="s">
        <v>865</v>
      </c>
      <c r="G53" s="52" t="s">
        <v>866</v>
      </c>
      <c r="H53" s="51" t="s">
        <v>78</v>
      </c>
      <c r="I53" s="52" t="s">
        <v>867</v>
      </c>
      <c r="J53" s="52" t="s">
        <v>868</v>
      </c>
      <c r="K53" s="52" t="s">
        <v>741</v>
      </c>
      <c r="L53" s="51" t="s">
        <v>69</v>
      </c>
    </row>
    <row r="54" spans="1:12" ht="30" customHeight="1">
      <c r="A54" s="49" t="s">
        <v>869</v>
      </c>
      <c r="B54" s="50" t="s">
        <v>870</v>
      </c>
      <c r="C54" s="49" t="s">
        <v>689</v>
      </c>
      <c r="D54" s="49">
        <v>0</v>
      </c>
      <c r="E54" s="49"/>
      <c r="F54" s="49" t="s">
        <v>865</v>
      </c>
      <c r="G54" s="50" t="s">
        <v>866</v>
      </c>
      <c r="H54" s="49" t="s">
        <v>78</v>
      </c>
      <c r="I54" s="50" t="s">
        <v>867</v>
      </c>
      <c r="J54" s="50" t="s">
        <v>871</v>
      </c>
      <c r="K54" s="50" t="s">
        <v>741</v>
      </c>
      <c r="L54" s="49" t="s">
        <v>69</v>
      </c>
    </row>
    <row r="55" spans="1:12" ht="30" customHeight="1">
      <c r="A55" s="51" t="s">
        <v>872</v>
      </c>
      <c r="B55" s="52" t="s">
        <v>773</v>
      </c>
      <c r="C55" s="51" t="s">
        <v>650</v>
      </c>
      <c r="D55" s="51">
        <v>2000</v>
      </c>
      <c r="E55" s="51" t="s">
        <v>662</v>
      </c>
      <c r="F55" s="51" t="s">
        <v>865</v>
      </c>
      <c r="G55" s="52" t="s">
        <v>873</v>
      </c>
      <c r="H55" s="51" t="s">
        <v>239</v>
      </c>
      <c r="I55" s="52" t="s">
        <v>874</v>
      </c>
      <c r="J55" s="52" t="s">
        <v>875</v>
      </c>
      <c r="K55" s="52" t="s">
        <v>656</v>
      </c>
      <c r="L55" s="51" t="s">
        <v>69</v>
      </c>
    </row>
    <row r="56" spans="1:12" ht="27.75" customHeight="1">
      <c r="A56" s="61" t="s">
        <v>876</v>
      </c>
      <c r="B56" s="61"/>
      <c r="C56" s="61"/>
      <c r="D56" s="61"/>
      <c r="E56" s="61"/>
      <c r="F56" s="61"/>
      <c r="G56" s="61"/>
      <c r="H56" s="61"/>
      <c r="I56" s="61"/>
      <c r="J56" s="61"/>
      <c r="K56" s="61"/>
      <c r="L56" s="61"/>
    </row>
    <row r="57" spans="1:12" ht="30" customHeight="1">
      <c r="A57" s="51" t="s">
        <v>877</v>
      </c>
      <c r="B57" s="52" t="s">
        <v>878</v>
      </c>
      <c r="C57" s="51" t="s">
        <v>689</v>
      </c>
      <c r="D57" s="51">
        <v>0</v>
      </c>
      <c r="E57" s="51"/>
      <c r="F57" s="51" t="s">
        <v>879</v>
      </c>
      <c r="G57" s="52" t="s">
        <v>728</v>
      </c>
      <c r="H57" s="51" t="s">
        <v>78</v>
      </c>
      <c r="I57" s="52" t="s">
        <v>880</v>
      </c>
      <c r="J57" s="52" t="s">
        <v>881</v>
      </c>
      <c r="K57" s="52" t="s">
        <v>845</v>
      </c>
      <c r="L57" s="51" t="s">
        <v>69</v>
      </c>
    </row>
    <row r="58" spans="1:12" ht="30" customHeight="1">
      <c r="A58" s="49" t="s">
        <v>882</v>
      </c>
      <c r="B58" s="50" t="s">
        <v>883</v>
      </c>
      <c r="C58" s="49" t="s">
        <v>689</v>
      </c>
      <c r="D58" s="49">
        <v>0</v>
      </c>
      <c r="E58" s="49"/>
      <c r="F58" s="49" t="s">
        <v>879</v>
      </c>
      <c r="G58" s="50" t="s">
        <v>884</v>
      </c>
      <c r="H58" s="49" t="s">
        <v>351</v>
      </c>
      <c r="I58" s="50" t="s">
        <v>885</v>
      </c>
      <c r="J58" s="50" t="s">
        <v>886</v>
      </c>
      <c r="K58" s="50" t="s">
        <v>741</v>
      </c>
      <c r="L58" s="49" t="s">
        <v>69</v>
      </c>
    </row>
    <row r="59" spans="1:12" ht="30" customHeight="1">
      <c r="A59" s="51" t="s">
        <v>887</v>
      </c>
      <c r="B59" s="52" t="s">
        <v>888</v>
      </c>
      <c r="C59" s="51" t="s">
        <v>689</v>
      </c>
      <c r="D59" s="51">
        <v>0</v>
      </c>
      <c r="E59" s="51"/>
      <c r="F59" s="51" t="s">
        <v>889</v>
      </c>
      <c r="G59" s="52" t="s">
        <v>890</v>
      </c>
      <c r="H59" s="51" t="s">
        <v>239</v>
      </c>
      <c r="I59" s="52" t="s">
        <v>891</v>
      </c>
      <c r="J59" s="52" t="s">
        <v>892</v>
      </c>
      <c r="K59" s="52" t="s">
        <v>681</v>
      </c>
      <c r="L59" s="51" t="s">
        <v>69</v>
      </c>
    </row>
    <row r="60" spans="1:12" ht="27.75" customHeight="1">
      <c r="A60" s="57" t="s">
        <v>893</v>
      </c>
      <c r="B60" s="57"/>
      <c r="C60" s="57"/>
      <c r="D60" s="57"/>
      <c r="E60" s="57"/>
      <c r="F60" s="57"/>
      <c r="G60" s="57"/>
      <c r="H60" s="57"/>
      <c r="I60" s="57"/>
      <c r="J60" s="57"/>
      <c r="K60" s="57"/>
      <c r="L60" s="57"/>
    </row>
    <row r="61" spans="1:12" ht="30" customHeight="1">
      <c r="A61" s="51" t="s">
        <v>894</v>
      </c>
      <c r="B61" s="52" t="s">
        <v>895</v>
      </c>
      <c r="C61" s="51" t="s">
        <v>650</v>
      </c>
      <c r="D61" s="51">
        <v>0.5</v>
      </c>
      <c r="E61" s="51" t="s">
        <v>651</v>
      </c>
      <c r="F61" s="51" t="s">
        <v>896</v>
      </c>
      <c r="G61" s="52" t="s">
        <v>897</v>
      </c>
      <c r="H61" s="51" t="s">
        <v>78</v>
      </c>
      <c r="I61" s="52" t="s">
        <v>898</v>
      </c>
      <c r="J61" s="52" t="s">
        <v>899</v>
      </c>
      <c r="K61" s="52" t="s">
        <v>70</v>
      </c>
      <c r="L61" s="51" t="s">
        <v>69</v>
      </c>
    </row>
    <row r="62" spans="1:12" ht="30" customHeight="1">
      <c r="A62" s="49" t="s">
        <v>900</v>
      </c>
      <c r="B62" s="50" t="s">
        <v>901</v>
      </c>
      <c r="C62" s="49" t="s">
        <v>689</v>
      </c>
      <c r="D62" s="49">
        <v>0</v>
      </c>
      <c r="E62" s="49"/>
      <c r="F62" s="49" t="s">
        <v>902</v>
      </c>
      <c r="G62" s="50" t="s">
        <v>903</v>
      </c>
      <c r="H62" s="49" t="s">
        <v>351</v>
      </c>
      <c r="I62" s="50" t="s">
        <v>904</v>
      </c>
      <c r="J62" s="50" t="s">
        <v>905</v>
      </c>
      <c r="K62" s="50" t="s">
        <v>792</v>
      </c>
      <c r="L62" s="49" t="s">
        <v>69</v>
      </c>
    </row>
    <row r="63" spans="1:12" ht="30" customHeight="1">
      <c r="A63" s="51" t="s">
        <v>906</v>
      </c>
      <c r="B63" s="52" t="s">
        <v>907</v>
      </c>
      <c r="C63" s="51" t="s">
        <v>650</v>
      </c>
      <c r="D63" s="51">
        <v>500</v>
      </c>
      <c r="E63" s="51" t="s">
        <v>651</v>
      </c>
      <c r="F63" s="51" t="s">
        <v>902</v>
      </c>
      <c r="G63" s="52" t="s">
        <v>903</v>
      </c>
      <c r="H63" s="51" t="s">
        <v>351</v>
      </c>
      <c r="I63" s="52" t="s">
        <v>904</v>
      </c>
      <c r="J63" s="52" t="s">
        <v>908</v>
      </c>
      <c r="K63" s="52" t="s">
        <v>792</v>
      </c>
      <c r="L63" s="51" t="s">
        <v>69</v>
      </c>
    </row>
    <row r="64" spans="1:12" ht="30" customHeight="1">
      <c r="A64" s="49" t="s">
        <v>909</v>
      </c>
      <c r="B64" s="50" t="s">
        <v>910</v>
      </c>
      <c r="C64" s="49" t="s">
        <v>689</v>
      </c>
      <c r="D64" s="49">
        <v>0</v>
      </c>
      <c r="E64" s="49"/>
      <c r="F64" s="49" t="s">
        <v>911</v>
      </c>
      <c r="G64" s="50" t="s">
        <v>912</v>
      </c>
      <c r="H64" s="49" t="s">
        <v>93</v>
      </c>
      <c r="I64" s="50" t="s">
        <v>913</v>
      </c>
      <c r="J64" s="50" t="s">
        <v>914</v>
      </c>
      <c r="K64" s="50" t="s">
        <v>792</v>
      </c>
      <c r="L64" s="49" t="s">
        <v>69</v>
      </c>
    </row>
    <row r="65" spans="1:12" ht="30" customHeight="1">
      <c r="A65" s="51" t="s">
        <v>915</v>
      </c>
      <c r="B65" s="52" t="s">
        <v>916</v>
      </c>
      <c r="C65" s="51" t="s">
        <v>689</v>
      </c>
      <c r="D65" s="51">
        <v>0</v>
      </c>
      <c r="E65" s="51"/>
      <c r="F65" s="51" t="s">
        <v>911</v>
      </c>
      <c r="G65" s="52" t="s">
        <v>912</v>
      </c>
      <c r="H65" s="51" t="s">
        <v>93</v>
      </c>
      <c r="I65" s="52" t="s">
        <v>917</v>
      </c>
      <c r="J65" s="52" t="s">
        <v>918</v>
      </c>
      <c r="K65" s="52" t="s">
        <v>741</v>
      </c>
      <c r="L65" s="51" t="s">
        <v>69</v>
      </c>
    </row>
    <row r="66" spans="1:12" ht="27.75" customHeight="1">
      <c r="A66" s="54" t="s">
        <v>919</v>
      </c>
      <c r="B66" s="54"/>
      <c r="C66" s="54"/>
      <c r="D66" s="54"/>
      <c r="E66" s="54"/>
      <c r="F66" s="54"/>
      <c r="G66" s="54"/>
      <c r="H66" s="54"/>
      <c r="I66" s="54"/>
      <c r="J66" s="54"/>
      <c r="K66" s="54"/>
      <c r="L66" s="54"/>
    </row>
    <row r="67" spans="1:12" ht="30" customHeight="1">
      <c r="A67" s="51" t="s">
        <v>920</v>
      </c>
      <c r="B67" s="52" t="s">
        <v>921</v>
      </c>
      <c r="C67" s="51" t="s">
        <v>689</v>
      </c>
      <c r="D67" s="51">
        <v>0</v>
      </c>
      <c r="E67" s="51"/>
      <c r="F67" s="51" t="s">
        <v>922</v>
      </c>
      <c r="G67" s="52" t="s">
        <v>923</v>
      </c>
      <c r="H67" s="51" t="s">
        <v>351</v>
      </c>
      <c r="I67" s="52" t="s">
        <v>924</v>
      </c>
      <c r="J67" s="52" t="s">
        <v>925</v>
      </c>
      <c r="K67" s="52" t="s">
        <v>926</v>
      </c>
      <c r="L67" s="51" t="s">
        <v>69</v>
      </c>
    </row>
    <row r="68" spans="1:12" ht="30" customHeight="1">
      <c r="A68" s="49" t="s">
        <v>927</v>
      </c>
      <c r="B68" s="50" t="s">
        <v>928</v>
      </c>
      <c r="C68" s="49" t="s">
        <v>689</v>
      </c>
      <c r="D68" s="49">
        <v>0</v>
      </c>
      <c r="E68" s="49"/>
      <c r="F68" s="49" t="s">
        <v>929</v>
      </c>
      <c r="G68" s="50" t="s">
        <v>930</v>
      </c>
      <c r="H68" s="49" t="s">
        <v>78</v>
      </c>
      <c r="I68" s="50" t="s">
        <v>931</v>
      </c>
      <c r="J68" s="50" t="s">
        <v>932</v>
      </c>
      <c r="K68" s="50" t="s">
        <v>926</v>
      </c>
      <c r="L68" s="49" t="s">
        <v>69</v>
      </c>
    </row>
    <row r="69" spans="1:12" ht="27.75" customHeight="1">
      <c r="A69" s="55" t="s">
        <v>933</v>
      </c>
      <c r="B69" s="55"/>
      <c r="C69" s="55"/>
      <c r="D69" s="55"/>
      <c r="E69" s="55"/>
      <c r="F69" s="55"/>
      <c r="G69" s="55"/>
      <c r="H69" s="55"/>
      <c r="I69" s="55"/>
      <c r="J69" s="55"/>
      <c r="K69" s="55"/>
      <c r="L69" s="55"/>
    </row>
    <row r="70" spans="1:12" ht="30" customHeight="1">
      <c r="A70" s="49" t="s">
        <v>934</v>
      </c>
      <c r="B70" s="50" t="s">
        <v>806</v>
      </c>
      <c r="C70" s="49" t="s">
        <v>935</v>
      </c>
      <c r="D70" s="49">
        <v>0</v>
      </c>
      <c r="E70" s="49"/>
      <c r="F70" s="49" t="s">
        <v>936</v>
      </c>
      <c r="G70" s="50" t="s">
        <v>937</v>
      </c>
      <c r="H70" s="49" t="s">
        <v>351</v>
      </c>
      <c r="I70" s="50" t="s">
        <v>938</v>
      </c>
      <c r="J70" s="50" t="s">
        <v>939</v>
      </c>
      <c r="K70" s="50" t="s">
        <v>70</v>
      </c>
      <c r="L70" s="49" t="s">
        <v>69</v>
      </c>
    </row>
    <row r="71" spans="1:12" ht="30" customHeight="1">
      <c r="A71" s="51" t="s">
        <v>940</v>
      </c>
      <c r="B71" s="52" t="s">
        <v>773</v>
      </c>
      <c r="C71" s="51" t="s">
        <v>650</v>
      </c>
      <c r="D71" s="51">
        <v>1000</v>
      </c>
      <c r="E71" s="51" t="s">
        <v>662</v>
      </c>
      <c r="F71" s="51" t="s">
        <v>936</v>
      </c>
      <c r="G71" s="52" t="s">
        <v>937</v>
      </c>
      <c r="H71" s="51" t="s">
        <v>78</v>
      </c>
      <c r="I71" s="52" t="s">
        <v>941</v>
      </c>
      <c r="J71" s="52" t="s">
        <v>942</v>
      </c>
      <c r="K71" s="52" t="s">
        <v>656</v>
      </c>
      <c r="L71" s="51" t="s">
        <v>69</v>
      </c>
    </row>
    <row r="72" spans="1:12" ht="30" customHeight="1">
      <c r="A72" s="49" t="s">
        <v>943</v>
      </c>
      <c r="B72" s="50" t="s">
        <v>944</v>
      </c>
      <c r="C72" s="49" t="s">
        <v>689</v>
      </c>
      <c r="D72" s="49">
        <v>0</v>
      </c>
      <c r="E72" s="49"/>
      <c r="F72" s="49" t="s">
        <v>945</v>
      </c>
      <c r="G72" s="50" t="s">
        <v>946</v>
      </c>
      <c r="H72" s="49" t="s">
        <v>239</v>
      </c>
      <c r="I72" s="50" t="s">
        <v>947</v>
      </c>
      <c r="J72" s="50" t="s">
        <v>948</v>
      </c>
      <c r="K72" s="50" t="s">
        <v>656</v>
      </c>
      <c r="L72" s="49" t="s">
        <v>69</v>
      </c>
    </row>
    <row r="73" spans="1:12" ht="27.75" customHeight="1">
      <c r="A73" s="56" t="s">
        <v>949</v>
      </c>
      <c r="B73" s="56"/>
      <c r="C73" s="56"/>
      <c r="D73" s="56"/>
      <c r="E73" s="56"/>
      <c r="F73" s="56"/>
      <c r="G73" s="56"/>
      <c r="H73" s="56"/>
      <c r="I73" s="56"/>
      <c r="J73" s="56"/>
      <c r="K73" s="56"/>
      <c r="L73" s="56"/>
    </row>
    <row r="74" spans="1:12" ht="30" customHeight="1">
      <c r="A74" s="49" t="s">
        <v>950</v>
      </c>
      <c r="B74" s="50" t="s">
        <v>951</v>
      </c>
      <c r="C74" s="49" t="s">
        <v>650</v>
      </c>
      <c r="D74" s="49">
        <v>400</v>
      </c>
      <c r="E74" s="49" t="s">
        <v>662</v>
      </c>
      <c r="F74" s="49" t="s">
        <v>663</v>
      </c>
      <c r="G74" s="50" t="s">
        <v>952</v>
      </c>
      <c r="H74" s="49" t="s">
        <v>78</v>
      </c>
      <c r="I74" s="50" t="s">
        <v>953</v>
      </c>
      <c r="J74" s="50" t="s">
        <v>954</v>
      </c>
      <c r="K74" s="50" t="s">
        <v>656</v>
      </c>
      <c r="L74" s="49" t="s">
        <v>69</v>
      </c>
    </row>
    <row r="75" spans="1:12" ht="30" customHeight="1">
      <c r="A75" s="51" t="s">
        <v>955</v>
      </c>
      <c r="B75" s="52" t="s">
        <v>956</v>
      </c>
      <c r="C75" s="51" t="s">
        <v>650</v>
      </c>
      <c r="D75" s="51">
        <v>5000</v>
      </c>
      <c r="E75" s="51" t="s">
        <v>662</v>
      </c>
      <c r="F75" s="51" t="s">
        <v>663</v>
      </c>
      <c r="G75" s="52" t="s">
        <v>957</v>
      </c>
      <c r="H75" s="51" t="s">
        <v>351</v>
      </c>
      <c r="I75" s="52" t="s">
        <v>958</v>
      </c>
      <c r="J75" s="52" t="s">
        <v>959</v>
      </c>
      <c r="K75" s="52" t="s">
        <v>656</v>
      </c>
      <c r="L75" s="51" t="s">
        <v>69</v>
      </c>
    </row>
    <row r="76" spans="1:12" ht="30" customHeight="1">
      <c r="A76" s="49" t="s">
        <v>960</v>
      </c>
      <c r="B76" s="50" t="s">
        <v>961</v>
      </c>
      <c r="C76" s="49" t="s">
        <v>650</v>
      </c>
      <c r="D76" s="49">
        <v>4000</v>
      </c>
      <c r="E76" s="49" t="s">
        <v>662</v>
      </c>
      <c r="F76" s="49" t="s">
        <v>663</v>
      </c>
      <c r="G76" s="50" t="s">
        <v>952</v>
      </c>
      <c r="H76" s="49" t="s">
        <v>78</v>
      </c>
      <c r="I76" s="50" t="s">
        <v>962</v>
      </c>
      <c r="J76" s="50" t="s">
        <v>963</v>
      </c>
      <c r="K76" s="50" t="s">
        <v>656</v>
      </c>
      <c r="L76" s="49" t="s">
        <v>69</v>
      </c>
    </row>
    <row r="77" spans="1:12" ht="27.75" customHeight="1">
      <c r="A77" s="57" t="s">
        <v>964</v>
      </c>
      <c r="B77" s="57"/>
      <c r="C77" s="57"/>
      <c r="D77" s="57"/>
      <c r="E77" s="57"/>
      <c r="F77" s="57"/>
      <c r="G77" s="57"/>
      <c r="H77" s="57"/>
      <c r="I77" s="57"/>
      <c r="J77" s="57"/>
      <c r="K77" s="57"/>
      <c r="L77" s="57"/>
    </row>
    <row r="78" spans="1:12" ht="30" customHeight="1">
      <c r="A78" s="49" t="s">
        <v>965</v>
      </c>
      <c r="B78" s="50" t="s">
        <v>773</v>
      </c>
      <c r="C78" s="49" t="s">
        <v>966</v>
      </c>
      <c r="D78" s="49">
        <v>1000</v>
      </c>
      <c r="E78" s="49" t="s">
        <v>662</v>
      </c>
      <c r="F78" s="49" t="s">
        <v>967</v>
      </c>
      <c r="G78" s="50" t="s">
        <v>968</v>
      </c>
      <c r="H78" s="49" t="s">
        <v>239</v>
      </c>
      <c r="I78" s="50" t="s">
        <v>969</v>
      </c>
      <c r="J78" s="50" t="s">
        <v>970</v>
      </c>
      <c r="K78" s="50" t="s">
        <v>656</v>
      </c>
      <c r="L78" s="49" t="s">
        <v>69</v>
      </c>
    </row>
    <row r="79" spans="1:12" ht="30" customHeight="1">
      <c r="A79" s="51" t="s">
        <v>971</v>
      </c>
      <c r="B79" s="52" t="s">
        <v>773</v>
      </c>
      <c r="C79" s="51" t="s">
        <v>650</v>
      </c>
      <c r="D79" s="51">
        <v>2000</v>
      </c>
      <c r="E79" s="51" t="s">
        <v>662</v>
      </c>
      <c r="F79" s="51" t="s">
        <v>972</v>
      </c>
      <c r="G79" s="52" t="s">
        <v>968</v>
      </c>
      <c r="H79" s="51" t="s">
        <v>239</v>
      </c>
      <c r="I79" s="52" t="s">
        <v>973</v>
      </c>
      <c r="J79" s="52" t="s">
        <v>974</v>
      </c>
      <c r="K79" s="52" t="s">
        <v>656</v>
      </c>
      <c r="L79" s="51" t="s">
        <v>69</v>
      </c>
    </row>
    <row r="80" spans="1:12" ht="27.75" customHeight="1"/>
    <row r="81" spans="1:12" ht="27.75" customHeight="1">
      <c r="A81" s="58" t="s">
        <v>975</v>
      </c>
      <c r="B81" s="58"/>
      <c r="C81" s="58"/>
      <c r="D81" s="58"/>
      <c r="E81" s="58"/>
      <c r="F81" s="58"/>
      <c r="G81" s="58"/>
      <c r="H81" s="58"/>
      <c r="I81" s="58"/>
      <c r="J81" s="58"/>
      <c r="K81" s="58"/>
      <c r="L81" s="58"/>
    </row>
    <row r="82" spans="1:12" ht="31.5" customHeight="1">
      <c r="A82" s="2" t="s">
        <v>637</v>
      </c>
      <c r="B82" s="53" t="s">
        <v>976</v>
      </c>
      <c r="C82" s="53"/>
      <c r="D82" s="53"/>
      <c r="E82" s="53"/>
      <c r="F82" s="53"/>
      <c r="G82" s="53"/>
      <c r="H82" s="53"/>
      <c r="I82" s="53"/>
      <c r="J82" s="53"/>
      <c r="K82" s="53"/>
      <c r="L82" s="53"/>
    </row>
    <row r="83" spans="1:12" ht="31.5" customHeight="1">
      <c r="A83" s="2" t="s">
        <v>638</v>
      </c>
      <c r="B83" s="53" t="s">
        <v>977</v>
      </c>
      <c r="C83" s="53"/>
      <c r="D83" s="53"/>
      <c r="E83" s="53"/>
      <c r="F83" s="53"/>
      <c r="G83" s="53"/>
      <c r="H83" s="53"/>
      <c r="I83" s="53"/>
      <c r="J83" s="53"/>
      <c r="K83" s="53"/>
      <c r="L83" s="53"/>
    </row>
    <row r="84" spans="1:12" ht="31.5" customHeight="1">
      <c r="A84" s="2" t="s">
        <v>639</v>
      </c>
      <c r="B84" s="53" t="s">
        <v>978</v>
      </c>
      <c r="C84" s="53"/>
      <c r="D84" s="53"/>
      <c r="E84" s="53"/>
      <c r="F84" s="53"/>
      <c r="G84" s="53"/>
      <c r="H84" s="53"/>
      <c r="I84" s="53"/>
      <c r="J84" s="53"/>
      <c r="K84" s="53"/>
      <c r="L84" s="53"/>
    </row>
    <row r="85" spans="1:12" ht="31.5" customHeight="1">
      <c r="A85" s="2" t="s">
        <v>641</v>
      </c>
      <c r="B85" s="53" t="s">
        <v>979</v>
      </c>
      <c r="C85" s="53"/>
      <c r="D85" s="53"/>
      <c r="E85" s="53"/>
      <c r="F85" s="53"/>
      <c r="G85" s="53"/>
      <c r="H85" s="53"/>
      <c r="I85" s="53"/>
      <c r="J85" s="53"/>
      <c r="K85" s="53"/>
      <c r="L85" s="53"/>
    </row>
    <row r="86" spans="1:12" ht="31.5" customHeight="1">
      <c r="A86" s="2" t="s">
        <v>642</v>
      </c>
      <c r="B86" s="53" t="s">
        <v>980</v>
      </c>
      <c r="C86" s="53"/>
      <c r="D86" s="53"/>
      <c r="E86" s="53"/>
      <c r="F86" s="53"/>
      <c r="G86" s="53"/>
      <c r="H86" s="53"/>
      <c r="I86" s="53"/>
      <c r="J86" s="53"/>
      <c r="K86" s="53"/>
      <c r="L86" s="53"/>
    </row>
    <row r="87" spans="1:12" ht="31.5" customHeight="1">
      <c r="A87" s="2" t="s">
        <v>643</v>
      </c>
      <c r="B87" s="53" t="s">
        <v>981</v>
      </c>
      <c r="C87" s="53"/>
      <c r="D87" s="53"/>
      <c r="E87" s="53"/>
      <c r="F87" s="53"/>
      <c r="G87" s="53"/>
      <c r="H87" s="53"/>
      <c r="I87" s="53"/>
      <c r="J87" s="53"/>
      <c r="K87" s="53"/>
      <c r="L87" s="53"/>
    </row>
    <row r="88" spans="1:12" ht="31.5" customHeight="1">
      <c r="A88" s="2" t="s">
        <v>646</v>
      </c>
      <c r="B88" s="53" t="s">
        <v>982</v>
      </c>
      <c r="C88" s="53"/>
      <c r="D88" s="53"/>
      <c r="E88" s="53"/>
      <c r="F88" s="53"/>
      <c r="G88" s="53"/>
      <c r="H88" s="53"/>
      <c r="I88" s="53"/>
      <c r="J88" s="53"/>
      <c r="K88" s="53"/>
      <c r="L88" s="53"/>
    </row>
    <row r="89" spans="1:12" ht="31.5" customHeight="1">
      <c r="A89" s="2" t="s">
        <v>983</v>
      </c>
      <c r="B89" s="53" t="s">
        <v>984</v>
      </c>
      <c r="C89" s="53"/>
      <c r="D89" s="53"/>
      <c r="E89" s="53"/>
      <c r="F89" s="53"/>
      <c r="G89" s="53"/>
      <c r="H89" s="53"/>
      <c r="I89" s="53"/>
      <c r="J89" s="53"/>
      <c r="K89" s="53"/>
      <c r="L89" s="53"/>
    </row>
  </sheetData>
  <mergeCells count="28">
    <mergeCell ref="A1:L1"/>
    <mergeCell ref="A2:L2"/>
    <mergeCell ref="A3:L3"/>
    <mergeCell ref="A5:L5"/>
    <mergeCell ref="A10:L10"/>
    <mergeCell ref="A14:L14"/>
    <mergeCell ref="A21:L21"/>
    <mergeCell ref="A27:L27"/>
    <mergeCell ref="A33:L33"/>
    <mergeCell ref="A39:L39"/>
    <mergeCell ref="A44:L44"/>
    <mergeCell ref="A48:L48"/>
    <mergeCell ref="A52:L52"/>
    <mergeCell ref="A56:L56"/>
    <mergeCell ref="A60:L60"/>
    <mergeCell ref="A66:L66"/>
    <mergeCell ref="A69:L69"/>
    <mergeCell ref="A73:L73"/>
    <mergeCell ref="A77:L77"/>
    <mergeCell ref="A81:L81"/>
    <mergeCell ref="B87:L87"/>
    <mergeCell ref="B88:L88"/>
    <mergeCell ref="B89:L89"/>
    <mergeCell ref="B82:L82"/>
    <mergeCell ref="B83:L83"/>
    <mergeCell ref="B84:L84"/>
    <mergeCell ref="B85:L85"/>
    <mergeCell ref="B86:L8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83D06-47A6-4EC0-8C09-B97AF88F0883}">
  <dimension ref="A1:H83"/>
  <sheetViews>
    <sheetView workbookViewId="0">
      <selection sqref="A1:XFD1048576"/>
    </sheetView>
  </sheetViews>
  <sheetFormatPr defaultColWidth="8.6640625" defaultRowHeight="14.4"/>
  <cols>
    <col min="1" max="1" width="25" customWidth="1"/>
    <col min="2" max="2" width="45" customWidth="1"/>
    <col min="3" max="3" width="5" customWidth="1"/>
    <col min="4" max="4" width="6" customWidth="1"/>
    <col min="5" max="5" width="50" customWidth="1"/>
    <col min="6" max="7" width="40" customWidth="1"/>
    <col min="8" max="8" width="50" customWidth="1"/>
  </cols>
  <sheetData>
    <row r="1" spans="1:8" ht="25.5" customHeight="1">
      <c r="A1" s="65" t="s">
        <v>1011</v>
      </c>
      <c r="B1" s="65"/>
      <c r="C1" s="65"/>
      <c r="D1" s="65"/>
      <c r="E1" s="65"/>
      <c r="F1" s="65"/>
      <c r="G1" s="65"/>
      <c r="H1" s="65"/>
    </row>
    <row r="2" spans="1:8" ht="31.5" customHeight="1">
      <c r="A2" s="66" t="s">
        <v>1012</v>
      </c>
      <c r="B2" s="66"/>
      <c r="C2" s="66"/>
      <c r="D2" s="66"/>
      <c r="E2" s="66"/>
      <c r="F2" s="66"/>
      <c r="G2" s="66"/>
      <c r="H2" s="66"/>
    </row>
    <row r="3" spans="1:8" ht="27.75" customHeight="1">
      <c r="A3" s="67" t="s">
        <v>1013</v>
      </c>
      <c r="B3" s="67" t="s">
        <v>1005</v>
      </c>
      <c r="C3" s="67" t="s">
        <v>1014</v>
      </c>
      <c r="D3" s="67" t="s">
        <v>1015</v>
      </c>
      <c r="E3" s="67" t="s">
        <v>1016</v>
      </c>
      <c r="F3" s="67" t="s">
        <v>1017</v>
      </c>
      <c r="G3" s="67" t="s">
        <v>1018</v>
      </c>
      <c r="H3" s="67" t="s">
        <v>1019</v>
      </c>
    </row>
    <row r="4" spans="1:8" ht="18" customHeight="1">
      <c r="A4" s="68" t="s">
        <v>1020</v>
      </c>
      <c r="B4" s="68"/>
      <c r="C4" s="68"/>
      <c r="D4" s="68"/>
      <c r="E4" s="68"/>
      <c r="F4" s="68"/>
      <c r="G4" s="68"/>
      <c r="H4" s="68"/>
    </row>
    <row r="5" spans="1:8" ht="69.75" customHeight="1">
      <c r="A5" s="69" t="s">
        <v>67</v>
      </c>
      <c r="B5" s="70" t="s">
        <v>1021</v>
      </c>
      <c r="C5" s="71">
        <v>8</v>
      </c>
      <c r="D5" s="72" t="s">
        <v>1022</v>
      </c>
      <c r="E5" s="70" t="s">
        <v>1023</v>
      </c>
      <c r="F5" s="70" t="s">
        <v>1024</v>
      </c>
      <c r="G5" s="70" t="s">
        <v>1025</v>
      </c>
      <c r="H5" s="70" t="s">
        <v>1026</v>
      </c>
    </row>
    <row r="6" spans="1:8" ht="69.75" customHeight="1">
      <c r="A6" s="73" t="s">
        <v>67</v>
      </c>
      <c r="B6" s="74" t="s">
        <v>1027</v>
      </c>
      <c r="C6" s="75">
        <v>8</v>
      </c>
      <c r="D6" s="72" t="s">
        <v>1022</v>
      </c>
      <c r="E6" s="74" t="s">
        <v>1028</v>
      </c>
      <c r="F6" s="74" t="s">
        <v>1029</v>
      </c>
      <c r="G6" s="74" t="s">
        <v>1030</v>
      </c>
      <c r="H6" s="74" t="s">
        <v>1031</v>
      </c>
    </row>
    <row r="7" spans="1:8" ht="69.75" customHeight="1">
      <c r="A7" s="69" t="s">
        <v>67</v>
      </c>
      <c r="B7" s="70" t="s">
        <v>1032</v>
      </c>
      <c r="C7" s="71">
        <v>5</v>
      </c>
      <c r="D7" s="72" t="s">
        <v>1022</v>
      </c>
      <c r="E7" s="70" t="s">
        <v>1033</v>
      </c>
      <c r="F7" s="70" t="s">
        <v>1034</v>
      </c>
      <c r="G7" s="70" t="s">
        <v>1035</v>
      </c>
      <c r="H7" s="70" t="s">
        <v>1036</v>
      </c>
    </row>
    <row r="8" spans="1:8" ht="69.75" customHeight="1">
      <c r="A8" s="73" t="s">
        <v>67</v>
      </c>
      <c r="B8" s="74" t="s">
        <v>1037</v>
      </c>
      <c r="C8" s="75">
        <v>5</v>
      </c>
      <c r="D8" s="72" t="s">
        <v>1022</v>
      </c>
      <c r="E8" s="74" t="s">
        <v>1038</v>
      </c>
      <c r="F8" s="74" t="s">
        <v>1039</v>
      </c>
      <c r="G8" s="74" t="s">
        <v>1040</v>
      </c>
      <c r="H8" s="74" t="s">
        <v>1041</v>
      </c>
    </row>
    <row r="9" spans="1:8" ht="69.75" customHeight="1">
      <c r="A9" s="69" t="s">
        <v>67</v>
      </c>
      <c r="B9" s="70" t="s">
        <v>1042</v>
      </c>
      <c r="C9" s="71">
        <v>3</v>
      </c>
      <c r="D9" s="72" t="s">
        <v>1022</v>
      </c>
      <c r="E9" s="70" t="s">
        <v>1043</v>
      </c>
      <c r="F9" s="70" t="s">
        <v>1044</v>
      </c>
      <c r="G9" s="70" t="s">
        <v>1045</v>
      </c>
      <c r="H9" s="70" t="s">
        <v>1046</v>
      </c>
    </row>
    <row r="10" spans="1:8" ht="69.75" customHeight="1">
      <c r="A10" s="73" t="s">
        <v>67</v>
      </c>
      <c r="B10" s="74" t="s">
        <v>1047</v>
      </c>
      <c r="C10" s="75">
        <v>4</v>
      </c>
      <c r="D10" s="72" t="s">
        <v>1022</v>
      </c>
      <c r="E10" s="74" t="s">
        <v>1048</v>
      </c>
      <c r="F10" s="74" t="s">
        <v>1049</v>
      </c>
      <c r="G10" s="74" t="s">
        <v>1050</v>
      </c>
      <c r="H10" s="74" t="s">
        <v>1051</v>
      </c>
    </row>
    <row r="11" spans="1:8" ht="69.75" customHeight="1">
      <c r="A11" s="69" t="s">
        <v>67</v>
      </c>
      <c r="B11" s="70" t="s">
        <v>1052</v>
      </c>
      <c r="C11" s="71">
        <v>3</v>
      </c>
      <c r="D11" s="76" t="s">
        <v>1053</v>
      </c>
      <c r="E11" s="70" t="s">
        <v>1054</v>
      </c>
      <c r="F11" s="70" t="s">
        <v>1055</v>
      </c>
      <c r="G11" s="70" t="s">
        <v>1056</v>
      </c>
      <c r="H11" s="70" t="s">
        <v>1057</v>
      </c>
    </row>
    <row r="12" spans="1:8" ht="69.75" customHeight="1">
      <c r="A12" s="73" t="s">
        <v>67</v>
      </c>
      <c r="B12" s="74" t="s">
        <v>1058</v>
      </c>
      <c r="C12" s="75">
        <v>6</v>
      </c>
      <c r="D12" s="72" t="s">
        <v>1022</v>
      </c>
      <c r="E12" s="74" t="s">
        <v>1059</v>
      </c>
      <c r="F12" s="74" t="s">
        <v>1060</v>
      </c>
      <c r="G12" s="74" t="s">
        <v>1061</v>
      </c>
      <c r="H12" s="74" t="s">
        <v>1062</v>
      </c>
    </row>
    <row r="13" spans="1:8" ht="69.75" customHeight="1">
      <c r="A13" s="69" t="s">
        <v>67</v>
      </c>
      <c r="B13" s="70" t="s">
        <v>1063</v>
      </c>
      <c r="C13" s="71">
        <v>10</v>
      </c>
      <c r="D13" s="72" t="s">
        <v>1022</v>
      </c>
      <c r="E13" s="70" t="s">
        <v>1064</v>
      </c>
      <c r="F13" s="70" t="s">
        <v>1065</v>
      </c>
      <c r="G13" s="70" t="s">
        <v>1066</v>
      </c>
      <c r="H13" s="70" t="s">
        <v>1067</v>
      </c>
    </row>
    <row r="14" spans="1:8" ht="69.75" customHeight="1">
      <c r="A14" s="73" t="s">
        <v>67</v>
      </c>
      <c r="B14" s="74" t="s">
        <v>1068</v>
      </c>
      <c r="C14" s="75">
        <v>7</v>
      </c>
      <c r="D14" s="72" t="s">
        <v>1022</v>
      </c>
      <c r="E14" s="74" t="s">
        <v>1069</v>
      </c>
      <c r="F14" s="74" t="s">
        <v>1070</v>
      </c>
      <c r="G14" s="74" t="s">
        <v>1071</v>
      </c>
      <c r="H14" s="74" t="s">
        <v>1072</v>
      </c>
    </row>
    <row r="15" spans="1:8" ht="69.75" customHeight="1">
      <c r="A15" s="69" t="s">
        <v>67</v>
      </c>
      <c r="B15" s="70" t="s">
        <v>1073</v>
      </c>
      <c r="C15" s="71">
        <v>5</v>
      </c>
      <c r="D15" s="76" t="s">
        <v>1053</v>
      </c>
      <c r="E15" s="70" t="s">
        <v>1074</v>
      </c>
      <c r="F15" s="70" t="s">
        <v>1075</v>
      </c>
      <c r="G15" s="70" t="s">
        <v>1076</v>
      </c>
      <c r="H15" s="70" t="s">
        <v>1077</v>
      </c>
    </row>
    <row r="16" spans="1:8" ht="69.75" customHeight="1">
      <c r="A16" s="73" t="s">
        <v>67</v>
      </c>
      <c r="B16" s="74" t="s">
        <v>1078</v>
      </c>
      <c r="C16" s="75">
        <v>6</v>
      </c>
      <c r="D16" s="72" t="s">
        <v>1022</v>
      </c>
      <c r="E16" s="74" t="s">
        <v>1079</v>
      </c>
      <c r="F16" s="74" t="s">
        <v>1080</v>
      </c>
      <c r="G16" s="74" t="s">
        <v>1081</v>
      </c>
      <c r="H16" s="74" t="s">
        <v>1082</v>
      </c>
    </row>
    <row r="17" spans="1:8" ht="69.75" customHeight="1">
      <c r="A17" s="69" t="s">
        <v>67</v>
      </c>
      <c r="B17" s="70" t="s">
        <v>1083</v>
      </c>
      <c r="C17" s="71">
        <v>7</v>
      </c>
      <c r="D17" s="72" t="s">
        <v>1022</v>
      </c>
      <c r="E17" s="70" t="s">
        <v>1084</v>
      </c>
      <c r="F17" s="70" t="s">
        <v>1085</v>
      </c>
      <c r="G17" s="70" t="s">
        <v>1086</v>
      </c>
      <c r="H17" s="70" t="s">
        <v>1087</v>
      </c>
    </row>
    <row r="18" spans="1:8" ht="69.75" customHeight="1">
      <c r="A18" s="73" t="s">
        <v>67</v>
      </c>
      <c r="B18" s="74" t="s">
        <v>1088</v>
      </c>
      <c r="C18" s="75">
        <v>4</v>
      </c>
      <c r="D18" s="76" t="s">
        <v>1053</v>
      </c>
      <c r="E18" s="74" t="s">
        <v>1089</v>
      </c>
      <c r="F18" s="74" t="s">
        <v>1090</v>
      </c>
      <c r="G18" s="74" t="s">
        <v>1091</v>
      </c>
      <c r="H18" s="74" t="s">
        <v>1092</v>
      </c>
    </row>
    <row r="19" spans="1:8" ht="69.75" customHeight="1">
      <c r="A19" s="69" t="s">
        <v>67</v>
      </c>
      <c r="B19" s="70" t="s">
        <v>1093</v>
      </c>
      <c r="C19" s="71">
        <v>3</v>
      </c>
      <c r="D19" s="76" t="s">
        <v>1053</v>
      </c>
      <c r="E19" s="70" t="s">
        <v>1094</v>
      </c>
      <c r="F19" s="70" t="s">
        <v>1095</v>
      </c>
      <c r="G19" s="70" t="s">
        <v>1096</v>
      </c>
      <c r="H19" s="70" t="s">
        <v>1097</v>
      </c>
    </row>
    <row r="20" spans="1:8" ht="69.75" customHeight="1">
      <c r="A20" s="73" t="s">
        <v>67</v>
      </c>
      <c r="B20" s="74" t="s">
        <v>1098</v>
      </c>
      <c r="C20" s="75">
        <v>4</v>
      </c>
      <c r="D20" s="76" t="s">
        <v>1053</v>
      </c>
      <c r="E20" s="74" t="s">
        <v>1099</v>
      </c>
      <c r="F20" s="74" t="s">
        <v>1100</v>
      </c>
      <c r="G20" s="74" t="s">
        <v>1101</v>
      </c>
      <c r="H20" s="74" t="s">
        <v>1102</v>
      </c>
    </row>
    <row r="21" spans="1:8" ht="69.75" customHeight="1">
      <c r="A21" s="69" t="s">
        <v>67</v>
      </c>
      <c r="B21" s="70" t="s">
        <v>1103</v>
      </c>
      <c r="C21" s="71">
        <v>5</v>
      </c>
      <c r="D21" s="76" t="s">
        <v>1053</v>
      </c>
      <c r="E21" s="70" t="s">
        <v>1104</v>
      </c>
      <c r="F21" s="70" t="s">
        <v>1105</v>
      </c>
      <c r="G21" s="70" t="s">
        <v>1106</v>
      </c>
      <c r="H21" s="70" t="s">
        <v>1107</v>
      </c>
    </row>
    <row r="22" spans="1:8" ht="18" customHeight="1">
      <c r="A22" s="68" t="s">
        <v>1108</v>
      </c>
      <c r="B22" s="68"/>
      <c r="C22" s="68"/>
      <c r="D22" s="68"/>
      <c r="E22" s="68"/>
      <c r="F22" s="68"/>
      <c r="G22" s="68"/>
      <c r="H22" s="68"/>
    </row>
    <row r="23" spans="1:8" ht="69.75" customHeight="1">
      <c r="A23" s="69" t="s">
        <v>121</v>
      </c>
      <c r="B23" s="70" t="s">
        <v>1109</v>
      </c>
      <c r="C23" s="71">
        <v>8</v>
      </c>
      <c r="D23" s="72" t="s">
        <v>1022</v>
      </c>
      <c r="E23" s="70" t="s">
        <v>1110</v>
      </c>
      <c r="F23" s="70" t="s">
        <v>1111</v>
      </c>
      <c r="G23" s="70" t="s">
        <v>1112</v>
      </c>
      <c r="H23" s="70" t="s">
        <v>1113</v>
      </c>
    </row>
    <row r="24" spans="1:8" ht="69.75" customHeight="1">
      <c r="A24" s="73" t="s">
        <v>121</v>
      </c>
      <c r="B24" s="74" t="s">
        <v>1114</v>
      </c>
      <c r="C24" s="75">
        <v>8</v>
      </c>
      <c r="D24" s="72" t="s">
        <v>1022</v>
      </c>
      <c r="E24" s="74" t="s">
        <v>1115</v>
      </c>
      <c r="F24" s="74" t="s">
        <v>1116</v>
      </c>
      <c r="G24" s="74" t="s">
        <v>1117</v>
      </c>
      <c r="H24" s="74" t="s">
        <v>1118</v>
      </c>
    </row>
    <row r="25" spans="1:8" ht="69.75" customHeight="1">
      <c r="A25" s="69" t="s">
        <v>121</v>
      </c>
      <c r="B25" s="70" t="s">
        <v>1119</v>
      </c>
      <c r="C25" s="71">
        <v>6</v>
      </c>
      <c r="D25" s="72" t="s">
        <v>1022</v>
      </c>
      <c r="E25" s="70" t="s">
        <v>1120</v>
      </c>
      <c r="F25" s="70" t="s">
        <v>1121</v>
      </c>
      <c r="G25" s="70" t="s">
        <v>1122</v>
      </c>
      <c r="H25" s="70" t="s">
        <v>1123</v>
      </c>
    </row>
    <row r="26" spans="1:8" ht="69.75" customHeight="1">
      <c r="A26" s="73" t="s">
        <v>121</v>
      </c>
      <c r="B26" s="74" t="s">
        <v>1124</v>
      </c>
      <c r="C26" s="75">
        <v>4</v>
      </c>
      <c r="D26" s="72" t="s">
        <v>1022</v>
      </c>
      <c r="E26" s="74" t="s">
        <v>1125</v>
      </c>
      <c r="F26" s="74" t="s">
        <v>1126</v>
      </c>
      <c r="G26" s="74" t="s">
        <v>1127</v>
      </c>
      <c r="H26" s="74" t="s">
        <v>1128</v>
      </c>
    </row>
    <row r="27" spans="1:8" ht="69.75" customHeight="1">
      <c r="A27" s="69" t="s">
        <v>121</v>
      </c>
      <c r="B27" s="70" t="s">
        <v>1129</v>
      </c>
      <c r="C27" s="71">
        <v>4</v>
      </c>
      <c r="D27" s="76" t="s">
        <v>1053</v>
      </c>
      <c r="E27" s="70" t="s">
        <v>1130</v>
      </c>
      <c r="F27" s="70" t="s">
        <v>1131</v>
      </c>
      <c r="G27" s="70" t="s">
        <v>1132</v>
      </c>
      <c r="H27" s="70" t="s">
        <v>1133</v>
      </c>
    </row>
    <row r="28" spans="1:8" ht="69.75" customHeight="1">
      <c r="A28" s="73" t="s">
        <v>121</v>
      </c>
      <c r="B28" s="74" t="s">
        <v>1134</v>
      </c>
      <c r="C28" s="75">
        <v>4</v>
      </c>
      <c r="D28" s="76" t="s">
        <v>1053</v>
      </c>
      <c r="E28" s="74" t="s">
        <v>1135</v>
      </c>
      <c r="F28" s="74" t="s">
        <v>1136</v>
      </c>
      <c r="G28" s="74" t="s">
        <v>1137</v>
      </c>
      <c r="H28" s="74" t="s">
        <v>1138</v>
      </c>
    </row>
    <row r="29" spans="1:8" ht="18" customHeight="1">
      <c r="A29" s="68" t="s">
        <v>1139</v>
      </c>
      <c r="B29" s="68"/>
      <c r="C29" s="68"/>
      <c r="D29" s="68"/>
      <c r="E29" s="68"/>
      <c r="F29" s="68"/>
      <c r="G29" s="68"/>
      <c r="H29" s="68"/>
    </row>
    <row r="30" spans="1:8" ht="69.75" customHeight="1">
      <c r="A30" s="73" t="s">
        <v>140</v>
      </c>
      <c r="B30" s="74" t="s">
        <v>1140</v>
      </c>
      <c r="C30" s="75">
        <v>8</v>
      </c>
      <c r="D30" s="72" t="s">
        <v>1022</v>
      </c>
      <c r="E30" s="74" t="s">
        <v>1141</v>
      </c>
      <c r="F30" s="74" t="s">
        <v>1142</v>
      </c>
      <c r="G30" s="74" t="s">
        <v>1143</v>
      </c>
      <c r="H30" s="74" t="s">
        <v>1144</v>
      </c>
    </row>
    <row r="31" spans="1:8" ht="69.75" customHeight="1">
      <c r="A31" s="69" t="s">
        <v>140</v>
      </c>
      <c r="B31" s="70" t="s">
        <v>1145</v>
      </c>
      <c r="C31" s="71">
        <v>4</v>
      </c>
      <c r="D31" s="76" t="s">
        <v>1053</v>
      </c>
      <c r="E31" s="70" t="s">
        <v>1146</v>
      </c>
      <c r="F31" s="70" t="s">
        <v>1147</v>
      </c>
      <c r="G31" s="70" t="s">
        <v>1148</v>
      </c>
      <c r="H31" s="70" t="s">
        <v>1149</v>
      </c>
    </row>
    <row r="32" spans="1:8" ht="69.75" customHeight="1">
      <c r="A32" s="73" t="s">
        <v>140</v>
      </c>
      <c r="B32" s="74" t="s">
        <v>1006</v>
      </c>
      <c r="C32" s="75">
        <v>5</v>
      </c>
      <c r="D32" s="76" t="s">
        <v>1053</v>
      </c>
      <c r="E32" s="74" t="s">
        <v>1150</v>
      </c>
      <c r="F32" s="74" t="s">
        <v>1151</v>
      </c>
      <c r="G32" s="74" t="s">
        <v>1152</v>
      </c>
      <c r="H32" s="74" t="s">
        <v>1153</v>
      </c>
    </row>
    <row r="33" spans="1:8" ht="69.75" customHeight="1">
      <c r="A33" s="69" t="s">
        <v>140</v>
      </c>
      <c r="B33" s="70" t="s">
        <v>1154</v>
      </c>
      <c r="C33" s="71">
        <v>5</v>
      </c>
      <c r="D33" s="72" t="s">
        <v>1022</v>
      </c>
      <c r="E33" s="70" t="s">
        <v>1155</v>
      </c>
      <c r="F33" s="70" t="s">
        <v>1156</v>
      </c>
      <c r="G33" s="70" t="s">
        <v>1157</v>
      </c>
      <c r="H33" s="70" t="s">
        <v>1158</v>
      </c>
    </row>
    <row r="34" spans="1:8" ht="18" customHeight="1">
      <c r="A34" s="68" t="s">
        <v>1159</v>
      </c>
      <c r="B34" s="68"/>
      <c r="C34" s="68"/>
      <c r="D34" s="68"/>
      <c r="E34" s="68"/>
      <c r="F34" s="68"/>
      <c r="G34" s="68"/>
      <c r="H34" s="68"/>
    </row>
    <row r="35" spans="1:8" ht="69.75" customHeight="1">
      <c r="A35" s="69" t="s">
        <v>150</v>
      </c>
      <c r="B35" s="70" t="s">
        <v>1160</v>
      </c>
      <c r="C35" s="71">
        <v>8</v>
      </c>
      <c r="D35" s="72" t="s">
        <v>1022</v>
      </c>
      <c r="E35" s="70" t="s">
        <v>1161</v>
      </c>
      <c r="F35" s="70" t="s">
        <v>1162</v>
      </c>
      <c r="G35" s="70" t="s">
        <v>1163</v>
      </c>
      <c r="H35" s="70" t="s">
        <v>1164</v>
      </c>
    </row>
    <row r="36" spans="1:8" ht="69.75" customHeight="1">
      <c r="A36" s="73" t="s">
        <v>150</v>
      </c>
      <c r="B36" s="74" t="s">
        <v>1165</v>
      </c>
      <c r="C36" s="75">
        <v>5</v>
      </c>
      <c r="D36" s="76" t="s">
        <v>1053</v>
      </c>
      <c r="E36" s="74" t="s">
        <v>1166</v>
      </c>
      <c r="F36" s="74" t="s">
        <v>1167</v>
      </c>
      <c r="G36" s="74" t="s">
        <v>1168</v>
      </c>
      <c r="H36" s="74" t="s">
        <v>1169</v>
      </c>
    </row>
    <row r="37" spans="1:8" ht="69.75" customHeight="1">
      <c r="A37" s="69" t="s">
        <v>150</v>
      </c>
      <c r="B37" s="70" t="s">
        <v>1007</v>
      </c>
      <c r="C37" s="71">
        <v>6</v>
      </c>
      <c r="D37" s="76" t="s">
        <v>1053</v>
      </c>
      <c r="E37" s="70" t="s">
        <v>1170</v>
      </c>
      <c r="F37" s="70" t="s">
        <v>1171</v>
      </c>
      <c r="G37" s="70" t="s">
        <v>1172</v>
      </c>
      <c r="H37" s="70" t="s">
        <v>1173</v>
      </c>
    </row>
    <row r="38" spans="1:8" ht="69.75" customHeight="1">
      <c r="A38" s="73" t="s">
        <v>150</v>
      </c>
      <c r="B38" s="74" t="s">
        <v>1174</v>
      </c>
      <c r="C38" s="75">
        <v>4</v>
      </c>
      <c r="D38" s="72" t="s">
        <v>1022</v>
      </c>
      <c r="E38" s="74" t="s">
        <v>1175</v>
      </c>
      <c r="F38" s="74" t="s">
        <v>1176</v>
      </c>
      <c r="G38" s="74" t="s">
        <v>1177</v>
      </c>
      <c r="H38" s="74" t="s">
        <v>1178</v>
      </c>
    </row>
    <row r="39" spans="1:8" ht="69.75" customHeight="1">
      <c r="A39" s="69" t="s">
        <v>150</v>
      </c>
      <c r="B39" s="70" t="s">
        <v>1179</v>
      </c>
      <c r="C39" s="71">
        <v>3</v>
      </c>
      <c r="D39" s="76" t="s">
        <v>1053</v>
      </c>
      <c r="E39" s="70" t="s">
        <v>1180</v>
      </c>
      <c r="F39" s="70" t="s">
        <v>1181</v>
      </c>
      <c r="G39" s="70" t="s">
        <v>1182</v>
      </c>
      <c r="H39" s="70" t="s">
        <v>1183</v>
      </c>
    </row>
    <row r="40" spans="1:8" ht="69.75" customHeight="1">
      <c r="A40" s="73" t="s">
        <v>150</v>
      </c>
      <c r="B40" s="74" t="s">
        <v>1184</v>
      </c>
      <c r="C40" s="75">
        <v>4</v>
      </c>
      <c r="D40" s="72" t="s">
        <v>1022</v>
      </c>
      <c r="E40" s="74" t="s">
        <v>1185</v>
      </c>
      <c r="F40" s="74" t="s">
        <v>1186</v>
      </c>
      <c r="G40" s="74" t="s">
        <v>1187</v>
      </c>
      <c r="H40" s="74" t="s">
        <v>1188</v>
      </c>
    </row>
    <row r="41" spans="1:8" ht="69.75" customHeight="1">
      <c r="A41" s="69" t="s">
        <v>150</v>
      </c>
      <c r="B41" s="70" t="s">
        <v>1009</v>
      </c>
      <c r="C41" s="71">
        <v>7</v>
      </c>
      <c r="D41" s="72" t="s">
        <v>1022</v>
      </c>
      <c r="E41" s="70" t="s">
        <v>1189</v>
      </c>
      <c r="F41" s="70" t="s">
        <v>1190</v>
      </c>
      <c r="G41" s="70" t="s">
        <v>1191</v>
      </c>
      <c r="H41" s="70" t="s">
        <v>1192</v>
      </c>
    </row>
    <row r="42" spans="1:8" ht="69.75" customHeight="1">
      <c r="A42" s="73" t="s">
        <v>150</v>
      </c>
      <c r="B42" s="74" t="s">
        <v>1193</v>
      </c>
      <c r="C42" s="75">
        <v>4</v>
      </c>
      <c r="D42" s="76" t="s">
        <v>1053</v>
      </c>
      <c r="E42" s="74" t="s">
        <v>1194</v>
      </c>
      <c r="F42" s="74" t="s">
        <v>1195</v>
      </c>
      <c r="G42" s="74" t="s">
        <v>1196</v>
      </c>
      <c r="H42" s="74" t="s">
        <v>1197</v>
      </c>
    </row>
    <row r="43" spans="1:8" ht="18" customHeight="1">
      <c r="A43" s="68" t="s">
        <v>1198</v>
      </c>
      <c r="B43" s="68"/>
      <c r="C43" s="68"/>
      <c r="D43" s="68"/>
      <c r="E43" s="68"/>
      <c r="F43" s="68"/>
      <c r="G43" s="68"/>
      <c r="H43" s="68"/>
    </row>
    <row r="44" spans="1:8" ht="69.75" customHeight="1">
      <c r="A44" s="73" t="s">
        <v>167</v>
      </c>
      <c r="B44" s="74" t="s">
        <v>1199</v>
      </c>
      <c r="C44" s="75">
        <v>10</v>
      </c>
      <c r="D44" s="72" t="s">
        <v>1022</v>
      </c>
      <c r="E44" s="74" t="s">
        <v>1200</v>
      </c>
      <c r="F44" s="74" t="s">
        <v>1201</v>
      </c>
      <c r="G44" s="74" t="s">
        <v>1202</v>
      </c>
      <c r="H44" s="74" t="s">
        <v>1203</v>
      </c>
    </row>
    <row r="45" spans="1:8" ht="69.75" customHeight="1">
      <c r="A45" s="69" t="s">
        <v>167</v>
      </c>
      <c r="B45" s="70" t="s">
        <v>1204</v>
      </c>
      <c r="C45" s="71">
        <v>6</v>
      </c>
      <c r="D45" s="72" t="s">
        <v>1022</v>
      </c>
      <c r="E45" s="70" t="s">
        <v>1205</v>
      </c>
      <c r="F45" s="70" t="s">
        <v>1206</v>
      </c>
      <c r="G45" s="70" t="s">
        <v>1207</v>
      </c>
      <c r="H45" s="70" t="s">
        <v>1208</v>
      </c>
    </row>
    <row r="46" spans="1:8" ht="18" customHeight="1">
      <c r="A46" s="68" t="s">
        <v>1209</v>
      </c>
      <c r="B46" s="68"/>
      <c r="C46" s="68"/>
      <c r="D46" s="68"/>
      <c r="E46" s="68"/>
      <c r="F46" s="68"/>
      <c r="G46" s="68"/>
      <c r="H46" s="68"/>
    </row>
    <row r="47" spans="1:8" ht="69.75" customHeight="1">
      <c r="A47" s="69" t="s">
        <v>172</v>
      </c>
      <c r="B47" s="70" t="s">
        <v>1210</v>
      </c>
      <c r="C47" s="71">
        <v>8</v>
      </c>
      <c r="D47" s="72" t="s">
        <v>1022</v>
      </c>
      <c r="E47" s="70" t="s">
        <v>1211</v>
      </c>
      <c r="F47" s="70" t="s">
        <v>1212</v>
      </c>
      <c r="G47" s="70" t="s">
        <v>1213</v>
      </c>
      <c r="H47" s="70" t="s">
        <v>1214</v>
      </c>
    </row>
    <row r="48" spans="1:8" ht="69.75" customHeight="1">
      <c r="A48" s="73" t="s">
        <v>172</v>
      </c>
      <c r="B48" s="74" t="s">
        <v>1215</v>
      </c>
      <c r="C48" s="75">
        <v>3</v>
      </c>
      <c r="D48" s="76" t="s">
        <v>1053</v>
      </c>
      <c r="E48" s="74" t="s">
        <v>1216</v>
      </c>
      <c r="F48" s="74" t="s">
        <v>1217</v>
      </c>
      <c r="G48" s="74" t="s">
        <v>1218</v>
      </c>
      <c r="H48" s="74" t="s">
        <v>1219</v>
      </c>
    </row>
    <row r="49" spans="1:8" ht="69.75" customHeight="1">
      <c r="A49" s="69" t="s">
        <v>172</v>
      </c>
      <c r="B49" s="70" t="s">
        <v>1220</v>
      </c>
      <c r="C49" s="71">
        <v>4</v>
      </c>
      <c r="D49" s="76" t="s">
        <v>1053</v>
      </c>
      <c r="E49" s="70" t="s">
        <v>1221</v>
      </c>
      <c r="F49" s="70" t="s">
        <v>1222</v>
      </c>
      <c r="G49" s="70" t="s">
        <v>1223</v>
      </c>
      <c r="H49" s="70" t="s">
        <v>1097</v>
      </c>
    </row>
    <row r="50" spans="1:8" ht="18" customHeight="1">
      <c r="A50" s="68" t="s">
        <v>1224</v>
      </c>
      <c r="B50" s="68"/>
      <c r="C50" s="68"/>
      <c r="D50" s="68"/>
      <c r="E50" s="68"/>
      <c r="F50" s="68"/>
      <c r="G50" s="68"/>
      <c r="H50" s="68"/>
    </row>
    <row r="51" spans="1:8" ht="69.75" customHeight="1">
      <c r="A51" s="69" t="s">
        <v>179</v>
      </c>
      <c r="B51" s="70" t="s">
        <v>1225</v>
      </c>
      <c r="C51" s="71">
        <v>4</v>
      </c>
      <c r="D51" s="76" t="s">
        <v>1053</v>
      </c>
      <c r="E51" s="70" t="s">
        <v>1226</v>
      </c>
      <c r="F51" s="70" t="s">
        <v>1227</v>
      </c>
      <c r="G51" s="70" t="s">
        <v>1228</v>
      </c>
      <c r="H51" s="70" t="s">
        <v>1229</v>
      </c>
    </row>
    <row r="52" spans="1:8" ht="69.75" customHeight="1">
      <c r="A52" s="73" t="s">
        <v>179</v>
      </c>
      <c r="B52" s="74" t="s">
        <v>1230</v>
      </c>
      <c r="C52" s="75">
        <v>6</v>
      </c>
      <c r="D52" s="72" t="s">
        <v>1022</v>
      </c>
      <c r="E52" s="74" t="s">
        <v>1231</v>
      </c>
      <c r="F52" s="74" t="s">
        <v>1232</v>
      </c>
      <c r="G52" s="74" t="s">
        <v>1233</v>
      </c>
      <c r="H52" s="74" t="s">
        <v>1234</v>
      </c>
    </row>
    <row r="53" spans="1:8" ht="18" customHeight="1">
      <c r="A53" s="68" t="s">
        <v>1235</v>
      </c>
      <c r="B53" s="68"/>
      <c r="C53" s="68"/>
      <c r="D53" s="68"/>
      <c r="E53" s="68"/>
      <c r="F53" s="68"/>
      <c r="G53" s="68"/>
      <c r="H53" s="68"/>
    </row>
    <row r="54" spans="1:8" ht="69.75" customHeight="1">
      <c r="A54" s="73" t="s">
        <v>185</v>
      </c>
      <c r="B54" s="74" t="s">
        <v>1236</v>
      </c>
      <c r="C54" s="75">
        <v>6</v>
      </c>
      <c r="D54" s="72" t="s">
        <v>1022</v>
      </c>
      <c r="E54" s="74" t="s">
        <v>1237</v>
      </c>
      <c r="F54" s="74" t="s">
        <v>1238</v>
      </c>
      <c r="G54" s="74" t="s">
        <v>1239</v>
      </c>
      <c r="H54" s="74" t="s">
        <v>1240</v>
      </c>
    </row>
    <row r="55" spans="1:8" ht="18" customHeight="1">
      <c r="A55" s="68" t="s">
        <v>1241</v>
      </c>
      <c r="B55" s="68"/>
      <c r="C55" s="68"/>
      <c r="D55" s="68"/>
      <c r="E55" s="68"/>
      <c r="F55" s="68"/>
      <c r="G55" s="68"/>
      <c r="H55" s="68"/>
    </row>
    <row r="56" spans="1:8" ht="69.75" customHeight="1">
      <c r="A56" s="73" t="s">
        <v>189</v>
      </c>
      <c r="B56" s="74" t="s">
        <v>1242</v>
      </c>
      <c r="C56" s="75">
        <v>8</v>
      </c>
      <c r="D56" s="72" t="s">
        <v>1022</v>
      </c>
      <c r="E56" s="74" t="s">
        <v>1243</v>
      </c>
      <c r="F56" s="74" t="s">
        <v>1244</v>
      </c>
      <c r="G56" s="74" t="s">
        <v>1245</v>
      </c>
      <c r="H56" s="74" t="s">
        <v>1246</v>
      </c>
    </row>
    <row r="57" spans="1:8" ht="69.75" customHeight="1">
      <c r="A57" s="69" t="s">
        <v>189</v>
      </c>
      <c r="B57" s="70" t="s">
        <v>1247</v>
      </c>
      <c r="C57" s="71">
        <v>6</v>
      </c>
      <c r="D57" s="72" t="s">
        <v>1022</v>
      </c>
      <c r="E57" s="70" t="s">
        <v>1248</v>
      </c>
      <c r="F57" s="70" t="s">
        <v>1249</v>
      </c>
      <c r="G57" s="70" t="s">
        <v>1250</v>
      </c>
      <c r="H57" s="70" t="s">
        <v>1251</v>
      </c>
    </row>
    <row r="58" spans="1:8" ht="69.75" customHeight="1">
      <c r="A58" s="73" t="s">
        <v>189</v>
      </c>
      <c r="B58" s="74" t="s">
        <v>1252</v>
      </c>
      <c r="C58" s="75">
        <v>5</v>
      </c>
      <c r="D58" s="76" t="s">
        <v>1053</v>
      </c>
      <c r="E58" s="74" t="s">
        <v>1253</v>
      </c>
      <c r="F58" s="74" t="s">
        <v>1254</v>
      </c>
      <c r="G58" s="74" t="s">
        <v>1255</v>
      </c>
      <c r="H58" s="74" t="s">
        <v>1256</v>
      </c>
    </row>
    <row r="59" spans="1:8" ht="69.75" customHeight="1">
      <c r="A59" s="69" t="s">
        <v>189</v>
      </c>
      <c r="B59" s="70" t="s">
        <v>1257</v>
      </c>
      <c r="C59" s="71">
        <v>7</v>
      </c>
      <c r="D59" s="72" t="s">
        <v>1022</v>
      </c>
      <c r="E59" s="70" t="s">
        <v>1258</v>
      </c>
      <c r="F59" s="70" t="s">
        <v>1259</v>
      </c>
      <c r="G59" s="70" t="s">
        <v>1260</v>
      </c>
      <c r="H59" s="70" t="s">
        <v>1261</v>
      </c>
    </row>
    <row r="60" spans="1:8" ht="69.75" customHeight="1">
      <c r="A60" s="73" t="s">
        <v>189</v>
      </c>
      <c r="B60" s="74" t="s">
        <v>1262</v>
      </c>
      <c r="C60" s="75">
        <v>6</v>
      </c>
      <c r="D60" s="72" t="s">
        <v>1022</v>
      </c>
      <c r="E60" s="74" t="s">
        <v>1263</v>
      </c>
      <c r="F60" s="74" t="s">
        <v>1264</v>
      </c>
      <c r="G60" s="74" t="s">
        <v>1265</v>
      </c>
      <c r="H60" s="74" t="s">
        <v>1266</v>
      </c>
    </row>
    <row r="61" spans="1:8" ht="69.75" customHeight="1">
      <c r="A61" s="69" t="s">
        <v>189</v>
      </c>
      <c r="B61" s="70" t="s">
        <v>1267</v>
      </c>
      <c r="C61" s="71">
        <v>4</v>
      </c>
      <c r="D61" s="76" t="s">
        <v>1053</v>
      </c>
      <c r="E61" s="70" t="s">
        <v>1268</v>
      </c>
      <c r="F61" s="70" t="s">
        <v>1269</v>
      </c>
      <c r="G61" s="70" t="s">
        <v>1270</v>
      </c>
      <c r="H61" s="70" t="s">
        <v>1271</v>
      </c>
    </row>
    <row r="62" spans="1:8" ht="69.75" customHeight="1">
      <c r="A62" s="73" t="s">
        <v>189</v>
      </c>
      <c r="B62" s="74" t="s">
        <v>1272</v>
      </c>
      <c r="C62" s="75">
        <v>7</v>
      </c>
      <c r="D62" s="72" t="s">
        <v>1022</v>
      </c>
      <c r="E62" s="74" t="s">
        <v>1273</v>
      </c>
      <c r="F62" s="74" t="s">
        <v>1274</v>
      </c>
      <c r="G62" s="74" t="s">
        <v>1275</v>
      </c>
      <c r="H62" s="74" t="s">
        <v>1276</v>
      </c>
    </row>
    <row r="63" spans="1:8" ht="69.75" customHeight="1">
      <c r="A63" s="69" t="s">
        <v>189</v>
      </c>
      <c r="B63" s="70" t="s">
        <v>1277</v>
      </c>
      <c r="C63" s="71">
        <v>4</v>
      </c>
      <c r="D63" s="76" t="s">
        <v>1053</v>
      </c>
      <c r="E63" s="70" t="s">
        <v>1278</v>
      </c>
      <c r="F63" s="70" t="s">
        <v>1279</v>
      </c>
      <c r="G63" s="70" t="s">
        <v>1280</v>
      </c>
      <c r="H63" s="70" t="s">
        <v>1281</v>
      </c>
    </row>
    <row r="64" spans="1:8" ht="69.75" customHeight="1">
      <c r="A64" s="73" t="s">
        <v>189</v>
      </c>
      <c r="B64" s="74" t="s">
        <v>1282</v>
      </c>
      <c r="C64" s="75">
        <v>5</v>
      </c>
      <c r="D64" s="72" t="s">
        <v>1022</v>
      </c>
      <c r="E64" s="74" t="s">
        <v>1283</v>
      </c>
      <c r="F64" s="74" t="s">
        <v>1284</v>
      </c>
      <c r="G64" s="74" t="s">
        <v>1285</v>
      </c>
      <c r="H64" s="74" t="s">
        <v>1286</v>
      </c>
    </row>
    <row r="65" spans="1:8" ht="69.75" customHeight="1">
      <c r="A65" s="69" t="s">
        <v>189</v>
      </c>
      <c r="B65" s="70" t="s">
        <v>1287</v>
      </c>
      <c r="C65" s="71">
        <v>5</v>
      </c>
      <c r="D65" s="76" t="s">
        <v>1053</v>
      </c>
      <c r="E65" s="70" t="s">
        <v>1288</v>
      </c>
      <c r="F65" s="70" t="s">
        <v>1289</v>
      </c>
      <c r="G65" s="70" t="s">
        <v>1290</v>
      </c>
      <c r="H65" s="70" t="s">
        <v>1291</v>
      </c>
    </row>
    <row r="66" spans="1:8" ht="69.75" customHeight="1">
      <c r="A66" s="73" t="s">
        <v>189</v>
      </c>
      <c r="B66" s="74" t="s">
        <v>1292</v>
      </c>
      <c r="C66" s="75">
        <v>5</v>
      </c>
      <c r="D66" s="76" t="s">
        <v>1053</v>
      </c>
      <c r="E66" s="74" t="s">
        <v>1293</v>
      </c>
      <c r="F66" s="74" t="s">
        <v>1294</v>
      </c>
      <c r="G66" s="74" t="s">
        <v>1295</v>
      </c>
      <c r="H66" s="74" t="s">
        <v>1296</v>
      </c>
    </row>
    <row r="67" spans="1:8" ht="69.75" customHeight="1">
      <c r="A67" s="69" t="s">
        <v>189</v>
      </c>
      <c r="B67" s="70" t="s">
        <v>1297</v>
      </c>
      <c r="C67" s="71">
        <v>5</v>
      </c>
      <c r="D67" s="72" t="s">
        <v>1022</v>
      </c>
      <c r="E67" s="70" t="s">
        <v>1298</v>
      </c>
      <c r="F67" s="70" t="s">
        <v>1299</v>
      </c>
      <c r="G67" s="70" t="s">
        <v>1300</v>
      </c>
      <c r="H67" s="70" t="s">
        <v>1301</v>
      </c>
    </row>
    <row r="68" spans="1:8" ht="69.75" customHeight="1">
      <c r="A68" s="73" t="s">
        <v>189</v>
      </c>
      <c r="B68" s="74" t="s">
        <v>1010</v>
      </c>
      <c r="C68" s="75">
        <v>5</v>
      </c>
      <c r="D68" s="76" t="s">
        <v>1053</v>
      </c>
      <c r="E68" s="74" t="s">
        <v>1302</v>
      </c>
      <c r="F68" s="74" t="s">
        <v>1303</v>
      </c>
      <c r="G68" s="74" t="s">
        <v>1304</v>
      </c>
      <c r="H68" s="74" t="s">
        <v>1305</v>
      </c>
    </row>
    <row r="69" spans="1:8" ht="18" customHeight="1">
      <c r="A69" s="68" t="s">
        <v>1306</v>
      </c>
      <c r="B69" s="68"/>
      <c r="C69" s="68"/>
      <c r="D69" s="68"/>
      <c r="E69" s="68"/>
      <c r="F69" s="68"/>
      <c r="G69" s="68"/>
      <c r="H69" s="68"/>
    </row>
    <row r="70" spans="1:8" ht="69.75" customHeight="1">
      <c r="A70" s="73" t="s">
        <v>217</v>
      </c>
      <c r="B70" s="74" t="s">
        <v>1307</v>
      </c>
      <c r="C70" s="75">
        <v>3</v>
      </c>
      <c r="D70" s="76" t="s">
        <v>1053</v>
      </c>
      <c r="E70" s="74" t="s">
        <v>1308</v>
      </c>
      <c r="F70" s="74" t="s">
        <v>1309</v>
      </c>
      <c r="G70" s="74" t="s">
        <v>1310</v>
      </c>
      <c r="H70" s="74" t="s">
        <v>1311</v>
      </c>
    </row>
    <row r="71" spans="1:8" ht="69.75" customHeight="1">
      <c r="A71" s="69" t="s">
        <v>217</v>
      </c>
      <c r="B71" s="70" t="s">
        <v>1312</v>
      </c>
      <c r="C71" s="71">
        <v>6</v>
      </c>
      <c r="D71" s="72" t="s">
        <v>1022</v>
      </c>
      <c r="E71" s="70" t="s">
        <v>1313</v>
      </c>
      <c r="F71" s="70" t="s">
        <v>1314</v>
      </c>
      <c r="G71" s="70" t="s">
        <v>1315</v>
      </c>
      <c r="H71" s="70" t="s">
        <v>1316</v>
      </c>
    </row>
    <row r="72" spans="1:8" ht="69.75" customHeight="1">
      <c r="A72" s="73" t="s">
        <v>217</v>
      </c>
      <c r="B72" s="74" t="s">
        <v>1317</v>
      </c>
      <c r="C72" s="75">
        <v>6</v>
      </c>
      <c r="D72" s="72" t="s">
        <v>1022</v>
      </c>
      <c r="E72" s="74" t="s">
        <v>1318</v>
      </c>
      <c r="F72" s="74" t="s">
        <v>1319</v>
      </c>
      <c r="G72" s="74" t="s">
        <v>1320</v>
      </c>
      <c r="H72" s="74" t="s">
        <v>1321</v>
      </c>
    </row>
    <row r="73" spans="1:8" ht="69.75" customHeight="1">
      <c r="A73" s="69" t="s">
        <v>217</v>
      </c>
      <c r="B73" s="70" t="s">
        <v>1322</v>
      </c>
      <c r="C73" s="71">
        <v>6</v>
      </c>
      <c r="D73" s="72" t="s">
        <v>1022</v>
      </c>
      <c r="E73" s="70" t="s">
        <v>1323</v>
      </c>
      <c r="F73" s="70" t="s">
        <v>1324</v>
      </c>
      <c r="G73" s="70" t="s">
        <v>1325</v>
      </c>
      <c r="H73" s="70" t="s">
        <v>1326</v>
      </c>
    </row>
    <row r="74" spans="1:8" ht="69.75" customHeight="1">
      <c r="A74" s="73" t="s">
        <v>217</v>
      </c>
      <c r="B74" s="74" t="s">
        <v>1327</v>
      </c>
      <c r="C74" s="75">
        <v>5</v>
      </c>
      <c r="D74" s="72" t="s">
        <v>1022</v>
      </c>
      <c r="E74" s="74" t="s">
        <v>1328</v>
      </c>
      <c r="F74" s="74" t="s">
        <v>1329</v>
      </c>
      <c r="G74" s="74" t="s">
        <v>1330</v>
      </c>
      <c r="H74" s="74" t="s">
        <v>1331</v>
      </c>
    </row>
    <row r="75" spans="1:8" ht="18" customHeight="1">
      <c r="A75" s="68" t="s">
        <v>1332</v>
      </c>
      <c r="B75" s="68"/>
      <c r="C75" s="68"/>
      <c r="D75" s="68"/>
      <c r="E75" s="68"/>
      <c r="F75" s="68"/>
      <c r="G75" s="68"/>
      <c r="H75" s="68"/>
    </row>
    <row r="76" spans="1:8" ht="69.75" customHeight="1">
      <c r="A76" s="73" t="s">
        <v>241</v>
      </c>
      <c r="B76" s="74" t="s">
        <v>1333</v>
      </c>
      <c r="C76" s="75">
        <v>4</v>
      </c>
      <c r="D76" s="76" t="s">
        <v>1053</v>
      </c>
      <c r="E76" s="74" t="s">
        <v>1334</v>
      </c>
      <c r="F76" s="74" t="s">
        <v>1335</v>
      </c>
      <c r="G76" s="74" t="s">
        <v>1336</v>
      </c>
      <c r="H76" s="74" t="s">
        <v>1337</v>
      </c>
    </row>
    <row r="77" spans="1:8" ht="69.75" customHeight="1">
      <c r="A77" s="69" t="s">
        <v>241</v>
      </c>
      <c r="B77" s="70" t="s">
        <v>1338</v>
      </c>
      <c r="C77" s="71">
        <v>6</v>
      </c>
      <c r="D77" s="72" t="s">
        <v>1022</v>
      </c>
      <c r="E77" s="70" t="s">
        <v>1339</v>
      </c>
      <c r="F77" s="70" t="s">
        <v>1340</v>
      </c>
      <c r="G77" s="70" t="s">
        <v>1341</v>
      </c>
      <c r="H77" s="70" t="s">
        <v>1342</v>
      </c>
    </row>
    <row r="78" spans="1:8" ht="69.75" customHeight="1">
      <c r="A78" s="73" t="s">
        <v>241</v>
      </c>
      <c r="B78" s="74" t="s">
        <v>1008</v>
      </c>
      <c r="C78" s="75">
        <v>5</v>
      </c>
      <c r="D78" s="76" t="s">
        <v>1053</v>
      </c>
      <c r="E78" s="74" t="s">
        <v>1343</v>
      </c>
      <c r="F78" s="74" t="s">
        <v>1344</v>
      </c>
      <c r="G78" s="74" t="s">
        <v>1345</v>
      </c>
      <c r="H78" s="74" t="s">
        <v>1346</v>
      </c>
    </row>
    <row r="79" spans="1:8" ht="69.75" customHeight="1">
      <c r="A79" s="69" t="s">
        <v>241</v>
      </c>
      <c r="B79" s="70" t="s">
        <v>1347</v>
      </c>
      <c r="C79" s="71">
        <v>4</v>
      </c>
      <c r="D79" s="72" t="s">
        <v>1022</v>
      </c>
      <c r="E79" s="70" t="s">
        <v>1348</v>
      </c>
      <c r="F79" s="70" t="s">
        <v>1349</v>
      </c>
      <c r="G79" s="70" t="s">
        <v>1350</v>
      </c>
      <c r="H79" s="70" t="s">
        <v>1351</v>
      </c>
    </row>
    <row r="80" spans="1:8" ht="18" customHeight="1">
      <c r="A80" s="68" t="s">
        <v>1352</v>
      </c>
      <c r="B80" s="68"/>
      <c r="C80" s="68"/>
      <c r="D80" s="68"/>
      <c r="E80" s="68"/>
      <c r="F80" s="68"/>
      <c r="G80" s="68"/>
      <c r="H80" s="68"/>
    </row>
    <row r="81" spans="1:8" ht="69.75" customHeight="1">
      <c r="A81" s="69" t="s">
        <v>280</v>
      </c>
      <c r="B81" s="70" t="s">
        <v>1353</v>
      </c>
      <c r="C81" s="71">
        <v>3</v>
      </c>
      <c r="D81" s="76" t="s">
        <v>1053</v>
      </c>
      <c r="E81" s="70" t="s">
        <v>1354</v>
      </c>
      <c r="F81" s="70" t="s">
        <v>1355</v>
      </c>
      <c r="G81" s="70" t="s">
        <v>1356</v>
      </c>
      <c r="H81" s="70" t="s">
        <v>1357</v>
      </c>
    </row>
    <row r="82" spans="1:8" ht="69.75" customHeight="1">
      <c r="A82" s="73" t="s">
        <v>280</v>
      </c>
      <c r="B82" s="74" t="s">
        <v>1358</v>
      </c>
      <c r="C82" s="75">
        <v>4</v>
      </c>
      <c r="D82" s="76" t="s">
        <v>1053</v>
      </c>
      <c r="E82" s="74" t="s">
        <v>1359</v>
      </c>
      <c r="F82" s="74" t="s">
        <v>1360</v>
      </c>
      <c r="G82" s="74" t="s">
        <v>1361</v>
      </c>
      <c r="H82" s="74" t="s">
        <v>1362</v>
      </c>
    </row>
    <row r="83" spans="1:8" ht="69.75" customHeight="1">
      <c r="A83" s="69" t="s">
        <v>280</v>
      </c>
      <c r="B83" s="70" t="s">
        <v>1363</v>
      </c>
      <c r="C83" s="71">
        <v>3</v>
      </c>
      <c r="D83" s="76" t="s">
        <v>1053</v>
      </c>
      <c r="E83" s="70" t="s">
        <v>1364</v>
      </c>
      <c r="F83" s="70" t="s">
        <v>1365</v>
      </c>
      <c r="G83" s="70" t="s">
        <v>1366</v>
      </c>
      <c r="H83" s="70" t="s">
        <v>1367</v>
      </c>
    </row>
  </sheetData>
  <mergeCells count="14">
    <mergeCell ref="A75:H75"/>
    <mergeCell ref="A80:H80"/>
    <mergeCell ref="A43:H43"/>
    <mergeCell ref="A46:H46"/>
    <mergeCell ref="A50:H50"/>
    <mergeCell ref="A53:H53"/>
    <mergeCell ref="A55:H55"/>
    <mergeCell ref="A69:H69"/>
    <mergeCell ref="A1:H1"/>
    <mergeCell ref="A2:H2"/>
    <mergeCell ref="A4:H4"/>
    <mergeCell ref="A22:H22"/>
    <mergeCell ref="A29:H29"/>
    <mergeCell ref="A34:H3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3F995-0DCC-4A82-B542-2FE9B21EDFE7}">
  <dimension ref="A1:H70"/>
  <sheetViews>
    <sheetView tabSelected="1" workbookViewId="0">
      <selection sqref="A1:XFD1048576"/>
    </sheetView>
  </sheetViews>
  <sheetFormatPr defaultColWidth="8.6640625" defaultRowHeight="14.4"/>
  <cols>
    <col min="1" max="1" width="12" customWidth="1"/>
    <col min="2" max="2" width="45" customWidth="1"/>
    <col min="3" max="3" width="5" customWidth="1"/>
    <col min="4" max="4" width="6" customWidth="1"/>
    <col min="5" max="5" width="50" customWidth="1"/>
    <col min="6" max="7" width="40" customWidth="1"/>
    <col min="8" max="8" width="50" customWidth="1"/>
  </cols>
  <sheetData>
    <row r="1" spans="1:8" ht="25.5" customHeight="1">
      <c r="A1" s="65" t="s">
        <v>1368</v>
      </c>
      <c r="B1" s="65"/>
      <c r="C1" s="65"/>
      <c r="D1" s="65"/>
      <c r="E1" s="65"/>
      <c r="F1" s="65"/>
      <c r="G1" s="65"/>
      <c r="H1" s="65"/>
    </row>
    <row r="2" spans="1:8" ht="31.5" customHeight="1">
      <c r="A2" s="66" t="s">
        <v>1369</v>
      </c>
      <c r="B2" s="66"/>
      <c r="C2" s="66"/>
      <c r="D2" s="66"/>
      <c r="E2" s="66"/>
      <c r="F2" s="66"/>
      <c r="G2" s="66"/>
      <c r="H2" s="66"/>
    </row>
    <row r="3" spans="1:8" ht="27.75" customHeight="1">
      <c r="A3" s="67" t="s">
        <v>1370</v>
      </c>
      <c r="B3" s="67" t="s">
        <v>1005</v>
      </c>
      <c r="C3" s="67" t="s">
        <v>1014</v>
      </c>
      <c r="D3" s="67" t="s">
        <v>1015</v>
      </c>
      <c r="E3" s="67" t="s">
        <v>1016</v>
      </c>
      <c r="F3" s="67" t="s">
        <v>1017</v>
      </c>
      <c r="G3" s="67" t="s">
        <v>1018</v>
      </c>
      <c r="H3" s="67" t="s">
        <v>1019</v>
      </c>
    </row>
    <row r="4" spans="1:8" ht="18" customHeight="1">
      <c r="A4" s="68" t="s">
        <v>1371</v>
      </c>
      <c r="B4" s="68"/>
      <c r="C4" s="68"/>
      <c r="D4" s="68"/>
      <c r="E4" s="68"/>
      <c r="F4" s="68"/>
      <c r="G4" s="68"/>
      <c r="H4" s="68"/>
    </row>
    <row r="5" spans="1:8" ht="69.75" customHeight="1">
      <c r="A5" s="69" t="s">
        <v>355</v>
      </c>
      <c r="B5" s="70" t="s">
        <v>1372</v>
      </c>
      <c r="C5" s="71">
        <v>8</v>
      </c>
      <c r="D5" s="72" t="s">
        <v>1022</v>
      </c>
      <c r="E5" s="70" t="s">
        <v>1373</v>
      </c>
      <c r="F5" s="70" t="s">
        <v>1374</v>
      </c>
      <c r="G5" s="70" t="s">
        <v>1375</v>
      </c>
      <c r="H5" s="70" t="s">
        <v>1376</v>
      </c>
    </row>
    <row r="6" spans="1:8" ht="69.75" customHeight="1">
      <c r="A6" s="73" t="s">
        <v>355</v>
      </c>
      <c r="B6" s="74" t="s">
        <v>1377</v>
      </c>
      <c r="C6" s="75">
        <v>6</v>
      </c>
      <c r="D6" s="76" t="s">
        <v>1053</v>
      </c>
      <c r="E6" s="74" t="s">
        <v>1378</v>
      </c>
      <c r="F6" s="74" t="s">
        <v>1379</v>
      </c>
      <c r="G6" s="74" t="s">
        <v>1380</v>
      </c>
      <c r="H6" s="74" t="s">
        <v>1381</v>
      </c>
    </row>
    <row r="7" spans="1:8" ht="69.75" customHeight="1">
      <c r="A7" s="69" t="s">
        <v>355</v>
      </c>
      <c r="B7" s="70" t="s">
        <v>1382</v>
      </c>
      <c r="C7" s="71">
        <v>9</v>
      </c>
      <c r="D7" s="72" t="s">
        <v>1022</v>
      </c>
      <c r="E7" s="70" t="s">
        <v>1383</v>
      </c>
      <c r="F7" s="70" t="s">
        <v>1384</v>
      </c>
      <c r="G7" s="70" t="s">
        <v>1385</v>
      </c>
      <c r="H7" s="70" t="s">
        <v>1386</v>
      </c>
    </row>
    <row r="8" spans="1:8" ht="69.75" customHeight="1">
      <c r="A8" s="73" t="s">
        <v>355</v>
      </c>
      <c r="B8" s="74" t="s">
        <v>1387</v>
      </c>
      <c r="C8" s="75">
        <v>10</v>
      </c>
      <c r="D8" s="72" t="s">
        <v>1022</v>
      </c>
      <c r="E8" s="74" t="s">
        <v>1388</v>
      </c>
      <c r="F8" s="74" t="s">
        <v>1389</v>
      </c>
      <c r="G8" s="74" t="s">
        <v>1390</v>
      </c>
      <c r="H8" s="74" t="s">
        <v>1391</v>
      </c>
    </row>
    <row r="9" spans="1:8" ht="69.75" customHeight="1">
      <c r="A9" s="69" t="s">
        <v>355</v>
      </c>
      <c r="B9" s="70" t="s">
        <v>1392</v>
      </c>
      <c r="C9" s="71">
        <v>10</v>
      </c>
      <c r="D9" s="72" t="s">
        <v>1022</v>
      </c>
      <c r="E9" s="70" t="s">
        <v>1393</v>
      </c>
      <c r="F9" s="70" t="s">
        <v>1394</v>
      </c>
      <c r="G9" s="70" t="s">
        <v>1395</v>
      </c>
      <c r="H9" s="70" t="s">
        <v>1396</v>
      </c>
    </row>
    <row r="10" spans="1:8" ht="69.75" customHeight="1">
      <c r="A10" s="73" t="s">
        <v>355</v>
      </c>
      <c r="B10" s="74" t="s">
        <v>1397</v>
      </c>
      <c r="C10" s="75">
        <v>5</v>
      </c>
      <c r="D10" s="76" t="s">
        <v>1053</v>
      </c>
      <c r="E10" s="74" t="s">
        <v>1398</v>
      </c>
      <c r="F10" s="74" t="s">
        <v>1399</v>
      </c>
      <c r="G10" s="74" t="s">
        <v>1400</v>
      </c>
      <c r="H10" s="74" t="s">
        <v>1401</v>
      </c>
    </row>
    <row r="11" spans="1:8" ht="69.75" customHeight="1">
      <c r="A11" s="69" t="s">
        <v>355</v>
      </c>
      <c r="B11" s="70" t="s">
        <v>1402</v>
      </c>
      <c r="C11" s="71">
        <v>7</v>
      </c>
      <c r="D11" s="76" t="s">
        <v>1053</v>
      </c>
      <c r="E11" s="70" t="s">
        <v>1403</v>
      </c>
      <c r="F11" s="70" t="s">
        <v>1404</v>
      </c>
      <c r="G11" s="70" t="s">
        <v>1405</v>
      </c>
      <c r="H11" s="70" t="s">
        <v>1406</v>
      </c>
    </row>
    <row r="12" spans="1:8" ht="69.75" customHeight="1">
      <c r="A12" s="73" t="s">
        <v>355</v>
      </c>
      <c r="B12" s="74" t="s">
        <v>1407</v>
      </c>
      <c r="C12" s="75">
        <v>4</v>
      </c>
      <c r="D12" s="76" t="s">
        <v>1053</v>
      </c>
      <c r="E12" s="74" t="s">
        <v>1408</v>
      </c>
      <c r="F12" s="74" t="s">
        <v>1409</v>
      </c>
      <c r="G12" s="74" t="s">
        <v>1410</v>
      </c>
      <c r="H12" s="74" t="s">
        <v>1411</v>
      </c>
    </row>
    <row r="13" spans="1:8" ht="69.75" customHeight="1">
      <c r="A13" s="69" t="s">
        <v>355</v>
      </c>
      <c r="B13" s="70" t="s">
        <v>1412</v>
      </c>
      <c r="C13" s="71">
        <v>4</v>
      </c>
      <c r="D13" s="76" t="s">
        <v>1053</v>
      </c>
      <c r="E13" s="70" t="s">
        <v>1413</v>
      </c>
      <c r="F13" s="70" t="s">
        <v>1414</v>
      </c>
      <c r="G13" s="70" t="s">
        <v>1415</v>
      </c>
      <c r="H13" s="70" t="s">
        <v>1416</v>
      </c>
    </row>
    <row r="14" spans="1:8" ht="69.75" customHeight="1">
      <c r="A14" s="73" t="s">
        <v>355</v>
      </c>
      <c r="B14" s="74" t="s">
        <v>1417</v>
      </c>
      <c r="C14" s="75">
        <v>7</v>
      </c>
      <c r="D14" s="72" t="s">
        <v>1022</v>
      </c>
      <c r="E14" s="74" t="s">
        <v>1418</v>
      </c>
      <c r="F14" s="74" t="s">
        <v>1419</v>
      </c>
      <c r="G14" s="74" t="s">
        <v>1420</v>
      </c>
      <c r="H14" s="74" t="s">
        <v>1421</v>
      </c>
    </row>
    <row r="15" spans="1:8" ht="18" customHeight="1">
      <c r="A15" s="68" t="s">
        <v>1422</v>
      </c>
      <c r="B15" s="68"/>
      <c r="C15" s="68"/>
      <c r="D15" s="68"/>
      <c r="E15" s="68"/>
      <c r="F15" s="68"/>
      <c r="G15" s="68"/>
      <c r="H15" s="68"/>
    </row>
    <row r="16" spans="1:8" ht="69.75" customHeight="1">
      <c r="A16" s="73" t="s">
        <v>381</v>
      </c>
      <c r="B16" s="74" t="s">
        <v>1423</v>
      </c>
      <c r="C16" s="75">
        <v>8</v>
      </c>
      <c r="D16" s="72" t="s">
        <v>1022</v>
      </c>
      <c r="E16" s="74" t="s">
        <v>1424</v>
      </c>
      <c r="F16" s="74" t="s">
        <v>1425</v>
      </c>
      <c r="G16" s="74" t="s">
        <v>1426</v>
      </c>
      <c r="H16" s="74" t="s">
        <v>1427</v>
      </c>
    </row>
    <row r="17" spans="1:8" ht="69.75" customHeight="1">
      <c r="A17" s="69" t="s">
        <v>381</v>
      </c>
      <c r="B17" s="70" t="s">
        <v>1428</v>
      </c>
      <c r="C17" s="71">
        <v>6</v>
      </c>
      <c r="D17" s="72" t="s">
        <v>1022</v>
      </c>
      <c r="E17" s="70" t="s">
        <v>1429</v>
      </c>
      <c r="F17" s="70" t="s">
        <v>1430</v>
      </c>
      <c r="G17" s="70" t="s">
        <v>1431</v>
      </c>
      <c r="H17" s="70" t="s">
        <v>1432</v>
      </c>
    </row>
    <row r="18" spans="1:8" ht="69.75" customHeight="1">
      <c r="A18" s="73" t="s">
        <v>381</v>
      </c>
      <c r="B18" s="74" t="s">
        <v>1433</v>
      </c>
      <c r="C18" s="75">
        <v>8</v>
      </c>
      <c r="D18" s="72" t="s">
        <v>1022</v>
      </c>
      <c r="E18" s="74" t="s">
        <v>1434</v>
      </c>
      <c r="F18" s="74" t="s">
        <v>1435</v>
      </c>
      <c r="G18" s="74" t="s">
        <v>1436</v>
      </c>
      <c r="H18" s="74" t="s">
        <v>1437</v>
      </c>
    </row>
    <row r="19" spans="1:8" ht="69.75" customHeight="1">
      <c r="A19" s="69" t="s">
        <v>381</v>
      </c>
      <c r="B19" s="70" t="s">
        <v>1438</v>
      </c>
      <c r="C19" s="71">
        <v>9</v>
      </c>
      <c r="D19" s="72" t="s">
        <v>1022</v>
      </c>
      <c r="E19" s="70" t="s">
        <v>1439</v>
      </c>
      <c r="F19" s="70" t="s">
        <v>1440</v>
      </c>
      <c r="G19" s="70" t="s">
        <v>1441</v>
      </c>
      <c r="H19" s="70" t="s">
        <v>1442</v>
      </c>
    </row>
    <row r="20" spans="1:8" ht="69.75" customHeight="1">
      <c r="A20" s="73" t="s">
        <v>381</v>
      </c>
      <c r="B20" s="74" t="s">
        <v>1443</v>
      </c>
      <c r="C20" s="75">
        <v>9</v>
      </c>
      <c r="D20" s="72" t="s">
        <v>1022</v>
      </c>
      <c r="E20" s="74" t="s">
        <v>1444</v>
      </c>
      <c r="F20" s="74" t="s">
        <v>1445</v>
      </c>
      <c r="G20" s="74" t="s">
        <v>1446</v>
      </c>
      <c r="H20" s="74" t="s">
        <v>1447</v>
      </c>
    </row>
    <row r="21" spans="1:8" ht="69.75" customHeight="1">
      <c r="A21" s="69" t="s">
        <v>381</v>
      </c>
      <c r="B21" s="70" t="s">
        <v>1448</v>
      </c>
      <c r="C21" s="71">
        <v>6</v>
      </c>
      <c r="D21" s="76" t="s">
        <v>1053</v>
      </c>
      <c r="E21" s="70" t="s">
        <v>1449</v>
      </c>
      <c r="F21" s="70" t="s">
        <v>1450</v>
      </c>
      <c r="G21" s="70" t="s">
        <v>1451</v>
      </c>
      <c r="H21" s="70" t="s">
        <v>1452</v>
      </c>
    </row>
    <row r="22" spans="1:8" ht="69.75" customHeight="1">
      <c r="A22" s="73" t="s">
        <v>381</v>
      </c>
      <c r="B22" s="74" t="s">
        <v>1453</v>
      </c>
      <c r="C22" s="75">
        <v>7</v>
      </c>
      <c r="D22" s="72" t="s">
        <v>1022</v>
      </c>
      <c r="E22" s="74" t="s">
        <v>1454</v>
      </c>
      <c r="F22" s="74" t="s">
        <v>1455</v>
      </c>
      <c r="G22" s="74" t="s">
        <v>1456</v>
      </c>
      <c r="H22" s="74" t="s">
        <v>1457</v>
      </c>
    </row>
    <row r="23" spans="1:8" ht="69.75" customHeight="1">
      <c r="A23" s="69" t="s">
        <v>381</v>
      </c>
      <c r="B23" s="70" t="s">
        <v>1458</v>
      </c>
      <c r="C23" s="71">
        <v>6</v>
      </c>
      <c r="D23" s="76" t="s">
        <v>1053</v>
      </c>
      <c r="E23" s="70" t="s">
        <v>1459</v>
      </c>
      <c r="F23" s="70" t="s">
        <v>1460</v>
      </c>
      <c r="G23" s="70" t="s">
        <v>1461</v>
      </c>
      <c r="H23" s="70" t="s">
        <v>1462</v>
      </c>
    </row>
    <row r="24" spans="1:8" ht="69.75" customHeight="1">
      <c r="A24" s="73" t="s">
        <v>381</v>
      </c>
      <c r="B24" s="74" t="s">
        <v>1463</v>
      </c>
      <c r="C24" s="75">
        <v>5</v>
      </c>
      <c r="D24" s="76" t="s">
        <v>1053</v>
      </c>
      <c r="E24" s="74" t="s">
        <v>1464</v>
      </c>
      <c r="F24" s="74" t="s">
        <v>1465</v>
      </c>
      <c r="G24" s="74" t="s">
        <v>1466</v>
      </c>
      <c r="H24" s="74" t="s">
        <v>1467</v>
      </c>
    </row>
    <row r="25" spans="1:8" ht="18" customHeight="1">
      <c r="A25" s="68" t="s">
        <v>1468</v>
      </c>
      <c r="B25" s="68"/>
      <c r="C25" s="68"/>
      <c r="D25" s="68"/>
      <c r="E25" s="68"/>
      <c r="F25" s="68"/>
      <c r="G25" s="68"/>
      <c r="H25" s="68"/>
    </row>
    <row r="26" spans="1:8" ht="69.75" customHeight="1">
      <c r="A26" s="73" t="s">
        <v>407</v>
      </c>
      <c r="B26" s="74" t="s">
        <v>1469</v>
      </c>
      <c r="C26" s="75">
        <v>8</v>
      </c>
      <c r="D26" s="72" t="s">
        <v>1022</v>
      </c>
      <c r="E26" s="74" t="s">
        <v>1470</v>
      </c>
      <c r="F26" s="74" t="s">
        <v>1471</v>
      </c>
      <c r="G26" s="74" t="s">
        <v>1472</v>
      </c>
      <c r="H26" s="74" t="s">
        <v>1473</v>
      </c>
    </row>
    <row r="27" spans="1:8" ht="69.75" customHeight="1">
      <c r="A27" s="69" t="s">
        <v>407</v>
      </c>
      <c r="B27" s="70" t="s">
        <v>1474</v>
      </c>
      <c r="C27" s="71">
        <v>6</v>
      </c>
      <c r="D27" s="76" t="s">
        <v>1053</v>
      </c>
      <c r="E27" s="70" t="s">
        <v>1475</v>
      </c>
      <c r="F27" s="70" t="s">
        <v>1476</v>
      </c>
      <c r="G27" s="70" t="s">
        <v>1477</v>
      </c>
      <c r="H27" s="70" t="s">
        <v>1478</v>
      </c>
    </row>
    <row r="28" spans="1:8" ht="69.75" customHeight="1">
      <c r="A28" s="73" t="s">
        <v>407</v>
      </c>
      <c r="B28" s="74" t="s">
        <v>1479</v>
      </c>
      <c r="C28" s="75">
        <v>7</v>
      </c>
      <c r="D28" s="72" t="s">
        <v>1022</v>
      </c>
      <c r="E28" s="74" t="s">
        <v>1480</v>
      </c>
      <c r="F28" s="74" t="s">
        <v>1481</v>
      </c>
      <c r="G28" s="74" t="s">
        <v>1482</v>
      </c>
      <c r="H28" s="74" t="s">
        <v>1483</v>
      </c>
    </row>
    <row r="29" spans="1:8" ht="69.75" customHeight="1">
      <c r="A29" s="69" t="s">
        <v>407</v>
      </c>
      <c r="B29" s="70" t="s">
        <v>1484</v>
      </c>
      <c r="C29" s="71">
        <v>9</v>
      </c>
      <c r="D29" s="72" t="s">
        <v>1022</v>
      </c>
      <c r="E29" s="70" t="s">
        <v>1485</v>
      </c>
      <c r="F29" s="70" t="s">
        <v>1486</v>
      </c>
      <c r="G29" s="70" t="s">
        <v>1487</v>
      </c>
      <c r="H29" s="70" t="s">
        <v>1488</v>
      </c>
    </row>
    <row r="30" spans="1:8" ht="69.75" customHeight="1">
      <c r="A30" s="73" t="s">
        <v>407</v>
      </c>
      <c r="B30" s="74" t="s">
        <v>1489</v>
      </c>
      <c r="C30" s="75">
        <v>9</v>
      </c>
      <c r="D30" s="72" t="s">
        <v>1022</v>
      </c>
      <c r="E30" s="74" t="s">
        <v>1490</v>
      </c>
      <c r="F30" s="74" t="s">
        <v>1491</v>
      </c>
      <c r="G30" s="74" t="s">
        <v>1492</v>
      </c>
      <c r="H30" s="74" t="s">
        <v>1493</v>
      </c>
    </row>
    <row r="31" spans="1:8" ht="69.75" customHeight="1">
      <c r="A31" s="69" t="s">
        <v>407</v>
      </c>
      <c r="B31" s="70" t="s">
        <v>1494</v>
      </c>
      <c r="C31" s="71">
        <v>8</v>
      </c>
      <c r="D31" s="72" t="s">
        <v>1022</v>
      </c>
      <c r="E31" s="70" t="s">
        <v>1495</v>
      </c>
      <c r="F31" s="70" t="s">
        <v>1496</v>
      </c>
      <c r="G31" s="70" t="s">
        <v>1497</v>
      </c>
      <c r="H31" s="70" t="s">
        <v>1498</v>
      </c>
    </row>
    <row r="32" spans="1:8" ht="69.75" customHeight="1">
      <c r="A32" s="73" t="s">
        <v>407</v>
      </c>
      <c r="B32" s="74" t="s">
        <v>1499</v>
      </c>
      <c r="C32" s="75">
        <v>7</v>
      </c>
      <c r="D32" s="72" t="s">
        <v>1022</v>
      </c>
      <c r="E32" s="74" t="s">
        <v>1500</v>
      </c>
      <c r="F32" s="74" t="s">
        <v>1501</v>
      </c>
      <c r="G32" s="74" t="s">
        <v>1502</v>
      </c>
      <c r="H32" s="74" t="s">
        <v>1503</v>
      </c>
    </row>
    <row r="33" spans="1:8" ht="69.75" customHeight="1">
      <c r="A33" s="69" t="s">
        <v>407</v>
      </c>
      <c r="B33" s="70" t="s">
        <v>1504</v>
      </c>
      <c r="C33" s="71">
        <v>8</v>
      </c>
      <c r="D33" s="72" t="s">
        <v>1022</v>
      </c>
      <c r="E33" s="70" t="s">
        <v>1505</v>
      </c>
      <c r="F33" s="70" t="s">
        <v>1506</v>
      </c>
      <c r="G33" s="70" t="s">
        <v>1507</v>
      </c>
      <c r="H33" s="70" t="s">
        <v>1508</v>
      </c>
    </row>
    <row r="34" spans="1:8" ht="69.75" customHeight="1">
      <c r="A34" s="73" t="s">
        <v>407</v>
      </c>
      <c r="B34" s="74" t="s">
        <v>1509</v>
      </c>
      <c r="C34" s="75">
        <v>6</v>
      </c>
      <c r="D34" s="76" t="s">
        <v>1053</v>
      </c>
      <c r="E34" s="74" t="s">
        <v>1510</v>
      </c>
      <c r="F34" s="74" t="s">
        <v>1511</v>
      </c>
      <c r="G34" s="74" t="s">
        <v>1512</v>
      </c>
      <c r="H34" s="74" t="s">
        <v>1291</v>
      </c>
    </row>
    <row r="35" spans="1:8" ht="18" customHeight="1">
      <c r="A35" s="68" t="s">
        <v>1513</v>
      </c>
      <c r="B35" s="68"/>
      <c r="C35" s="68"/>
      <c r="D35" s="68"/>
      <c r="E35" s="68"/>
      <c r="F35" s="68"/>
      <c r="G35" s="68"/>
      <c r="H35" s="68"/>
    </row>
    <row r="36" spans="1:8" ht="69.75" customHeight="1">
      <c r="A36" s="73" t="s">
        <v>430</v>
      </c>
      <c r="B36" s="74" t="s">
        <v>1514</v>
      </c>
      <c r="C36" s="75">
        <v>7</v>
      </c>
      <c r="D36" s="72" t="s">
        <v>1022</v>
      </c>
      <c r="E36" s="74" t="s">
        <v>1515</v>
      </c>
      <c r="F36" s="74" t="s">
        <v>1516</v>
      </c>
      <c r="G36" s="74" t="s">
        <v>1517</v>
      </c>
      <c r="H36" s="74" t="s">
        <v>1518</v>
      </c>
    </row>
    <row r="37" spans="1:8" ht="69.75" customHeight="1">
      <c r="A37" s="69" t="s">
        <v>430</v>
      </c>
      <c r="B37" s="70" t="s">
        <v>1519</v>
      </c>
      <c r="C37" s="71">
        <v>8</v>
      </c>
      <c r="D37" s="72" t="s">
        <v>1022</v>
      </c>
      <c r="E37" s="70" t="s">
        <v>1520</v>
      </c>
      <c r="F37" s="70" t="s">
        <v>1521</v>
      </c>
      <c r="G37" s="70" t="s">
        <v>1522</v>
      </c>
      <c r="H37" s="70" t="s">
        <v>1523</v>
      </c>
    </row>
    <row r="38" spans="1:8" ht="69.75" customHeight="1">
      <c r="A38" s="73" t="s">
        <v>430</v>
      </c>
      <c r="B38" s="74" t="s">
        <v>1524</v>
      </c>
      <c r="C38" s="75">
        <v>7</v>
      </c>
      <c r="D38" s="72" t="s">
        <v>1022</v>
      </c>
      <c r="E38" s="74" t="s">
        <v>1525</v>
      </c>
      <c r="F38" s="74" t="s">
        <v>1526</v>
      </c>
      <c r="G38" s="74" t="s">
        <v>1527</v>
      </c>
      <c r="H38" s="74" t="s">
        <v>1528</v>
      </c>
    </row>
    <row r="39" spans="1:8" ht="69.75" customHeight="1">
      <c r="A39" s="69" t="s">
        <v>430</v>
      </c>
      <c r="B39" s="70" t="s">
        <v>1529</v>
      </c>
      <c r="C39" s="71">
        <v>8</v>
      </c>
      <c r="D39" s="72" t="s">
        <v>1022</v>
      </c>
      <c r="E39" s="70" t="s">
        <v>1530</v>
      </c>
      <c r="F39" s="70" t="s">
        <v>1531</v>
      </c>
      <c r="G39" s="70" t="s">
        <v>1532</v>
      </c>
      <c r="H39" s="70" t="s">
        <v>1533</v>
      </c>
    </row>
    <row r="40" spans="1:8" ht="69.75" customHeight="1">
      <c r="A40" s="73" t="s">
        <v>430</v>
      </c>
      <c r="B40" s="74" t="s">
        <v>1534</v>
      </c>
      <c r="C40" s="75">
        <v>5</v>
      </c>
      <c r="D40" s="72" t="s">
        <v>1022</v>
      </c>
      <c r="E40" s="74" t="s">
        <v>1535</v>
      </c>
      <c r="F40" s="74" t="s">
        <v>1536</v>
      </c>
      <c r="G40" s="74" t="s">
        <v>1537</v>
      </c>
      <c r="H40" s="74" t="s">
        <v>1538</v>
      </c>
    </row>
    <row r="41" spans="1:8" ht="18" customHeight="1">
      <c r="A41" s="68" t="s">
        <v>1539</v>
      </c>
      <c r="B41" s="68"/>
      <c r="C41" s="68"/>
      <c r="D41" s="68"/>
      <c r="E41" s="68"/>
      <c r="F41" s="68"/>
      <c r="G41" s="68"/>
      <c r="H41" s="68"/>
    </row>
    <row r="42" spans="1:8" ht="69.75" customHeight="1">
      <c r="A42" s="73" t="s">
        <v>464</v>
      </c>
      <c r="B42" s="74" t="s">
        <v>1540</v>
      </c>
      <c r="C42" s="75">
        <v>8</v>
      </c>
      <c r="D42" s="72" t="s">
        <v>1022</v>
      </c>
      <c r="E42" s="74" t="s">
        <v>1541</v>
      </c>
      <c r="F42" s="74" t="s">
        <v>1542</v>
      </c>
      <c r="G42" s="74" t="s">
        <v>1543</v>
      </c>
      <c r="H42" s="74" t="s">
        <v>1544</v>
      </c>
    </row>
    <row r="43" spans="1:8" ht="69.75" customHeight="1">
      <c r="A43" s="69" t="s">
        <v>464</v>
      </c>
      <c r="B43" s="70" t="s">
        <v>1545</v>
      </c>
      <c r="C43" s="71">
        <v>7</v>
      </c>
      <c r="D43" s="72" t="s">
        <v>1022</v>
      </c>
      <c r="E43" s="70" t="s">
        <v>1546</v>
      </c>
      <c r="F43" s="70" t="s">
        <v>1547</v>
      </c>
      <c r="G43" s="70" t="s">
        <v>1548</v>
      </c>
      <c r="H43" s="70" t="s">
        <v>1549</v>
      </c>
    </row>
    <row r="44" spans="1:8" ht="69.75" customHeight="1">
      <c r="A44" s="73" t="s">
        <v>464</v>
      </c>
      <c r="B44" s="74" t="s">
        <v>1550</v>
      </c>
      <c r="C44" s="75">
        <v>8</v>
      </c>
      <c r="D44" s="72" t="s">
        <v>1022</v>
      </c>
      <c r="E44" s="74" t="s">
        <v>1551</v>
      </c>
      <c r="F44" s="74" t="s">
        <v>1552</v>
      </c>
      <c r="G44" s="74" t="s">
        <v>1553</v>
      </c>
      <c r="H44" s="74" t="s">
        <v>1554</v>
      </c>
    </row>
    <row r="45" spans="1:8" ht="69.75" customHeight="1">
      <c r="A45" s="69" t="s">
        <v>464</v>
      </c>
      <c r="B45" s="70" t="s">
        <v>1555</v>
      </c>
      <c r="C45" s="71">
        <v>8</v>
      </c>
      <c r="D45" s="72" t="s">
        <v>1022</v>
      </c>
      <c r="E45" s="70" t="s">
        <v>1556</v>
      </c>
      <c r="F45" s="70" t="s">
        <v>1557</v>
      </c>
      <c r="G45" s="70" t="s">
        <v>1558</v>
      </c>
      <c r="H45" s="70" t="s">
        <v>1559</v>
      </c>
    </row>
    <row r="46" spans="1:8" ht="69.75" customHeight="1">
      <c r="A46" s="73" t="s">
        <v>464</v>
      </c>
      <c r="B46" s="74" t="s">
        <v>1560</v>
      </c>
      <c r="C46" s="75">
        <v>8</v>
      </c>
      <c r="D46" s="72" t="s">
        <v>1022</v>
      </c>
      <c r="E46" s="74" t="s">
        <v>1561</v>
      </c>
      <c r="F46" s="74" t="s">
        <v>1562</v>
      </c>
      <c r="G46" s="74" t="s">
        <v>1563</v>
      </c>
      <c r="H46" s="74" t="s">
        <v>1564</v>
      </c>
    </row>
    <row r="47" spans="1:8" ht="69.75" customHeight="1">
      <c r="A47" s="69" t="s">
        <v>464</v>
      </c>
      <c r="B47" s="70" t="s">
        <v>1565</v>
      </c>
      <c r="C47" s="71">
        <v>9</v>
      </c>
      <c r="D47" s="72" t="s">
        <v>1022</v>
      </c>
      <c r="E47" s="70" t="s">
        <v>1566</v>
      </c>
      <c r="F47" s="70" t="s">
        <v>1567</v>
      </c>
      <c r="G47" s="70" t="s">
        <v>1568</v>
      </c>
      <c r="H47" s="70" t="s">
        <v>1569</v>
      </c>
    </row>
    <row r="48" spans="1:8" ht="18" customHeight="1">
      <c r="A48" s="68" t="s">
        <v>1570</v>
      </c>
      <c r="B48" s="68"/>
      <c r="C48" s="68"/>
      <c r="D48" s="68"/>
      <c r="E48" s="68"/>
      <c r="F48" s="68"/>
      <c r="G48" s="68"/>
      <c r="H48" s="68"/>
    </row>
    <row r="49" spans="1:8" ht="69.75" customHeight="1">
      <c r="A49" s="69" t="s">
        <v>492</v>
      </c>
      <c r="B49" s="70" t="s">
        <v>1571</v>
      </c>
      <c r="C49" s="71">
        <v>8</v>
      </c>
      <c r="D49" s="72" t="s">
        <v>1022</v>
      </c>
      <c r="E49" s="70" t="s">
        <v>1572</v>
      </c>
      <c r="F49" s="70" t="s">
        <v>1573</v>
      </c>
      <c r="G49" s="70" t="s">
        <v>1574</v>
      </c>
      <c r="H49" s="70" t="s">
        <v>1575</v>
      </c>
    </row>
    <row r="50" spans="1:8" ht="69.75" customHeight="1">
      <c r="A50" s="73" t="s">
        <v>492</v>
      </c>
      <c r="B50" s="74" t="s">
        <v>1576</v>
      </c>
      <c r="C50" s="75">
        <v>7</v>
      </c>
      <c r="D50" s="72" t="s">
        <v>1022</v>
      </c>
      <c r="E50" s="74" t="s">
        <v>1577</v>
      </c>
      <c r="F50" s="74" t="s">
        <v>1578</v>
      </c>
      <c r="G50" s="74" t="s">
        <v>1579</v>
      </c>
      <c r="H50" s="74" t="s">
        <v>1580</v>
      </c>
    </row>
    <row r="51" spans="1:8" ht="69.75" customHeight="1">
      <c r="A51" s="69" t="s">
        <v>492</v>
      </c>
      <c r="B51" s="70" t="s">
        <v>1581</v>
      </c>
      <c r="C51" s="71">
        <v>8</v>
      </c>
      <c r="D51" s="72" t="s">
        <v>1022</v>
      </c>
      <c r="E51" s="70" t="s">
        <v>1582</v>
      </c>
      <c r="F51" s="70" t="s">
        <v>1583</v>
      </c>
      <c r="G51" s="70" t="s">
        <v>1584</v>
      </c>
      <c r="H51" s="70" t="s">
        <v>1585</v>
      </c>
    </row>
    <row r="52" spans="1:8" ht="69.75" customHeight="1">
      <c r="A52" s="73" t="s">
        <v>492</v>
      </c>
      <c r="B52" s="74" t="s">
        <v>1586</v>
      </c>
      <c r="C52" s="75">
        <v>8</v>
      </c>
      <c r="D52" s="72" t="s">
        <v>1022</v>
      </c>
      <c r="E52" s="74" t="s">
        <v>1587</v>
      </c>
      <c r="F52" s="74" t="s">
        <v>1588</v>
      </c>
      <c r="G52" s="74" t="s">
        <v>1589</v>
      </c>
      <c r="H52" s="74" t="s">
        <v>1590</v>
      </c>
    </row>
    <row r="53" spans="1:8" ht="18" customHeight="1">
      <c r="A53" s="68" t="s">
        <v>1591</v>
      </c>
      <c r="B53" s="68"/>
      <c r="C53" s="68"/>
      <c r="D53" s="68"/>
      <c r="E53" s="68"/>
      <c r="F53" s="68"/>
      <c r="G53" s="68"/>
      <c r="H53" s="68"/>
    </row>
    <row r="54" spans="1:8" ht="69.75" customHeight="1">
      <c r="A54" s="73" t="s">
        <v>517</v>
      </c>
      <c r="B54" s="74" t="s">
        <v>1592</v>
      </c>
      <c r="C54" s="75">
        <v>9</v>
      </c>
      <c r="D54" s="72" t="s">
        <v>1022</v>
      </c>
      <c r="E54" s="74" t="s">
        <v>1593</v>
      </c>
      <c r="F54" s="74" t="s">
        <v>1594</v>
      </c>
      <c r="G54" s="74" t="s">
        <v>1595</v>
      </c>
      <c r="H54" s="74" t="s">
        <v>1596</v>
      </c>
    </row>
    <row r="55" spans="1:8" ht="69.75" customHeight="1">
      <c r="A55" s="69" t="s">
        <v>517</v>
      </c>
      <c r="B55" s="70" t="s">
        <v>1597</v>
      </c>
      <c r="C55" s="71">
        <v>9</v>
      </c>
      <c r="D55" s="72" t="s">
        <v>1022</v>
      </c>
      <c r="E55" s="70" t="s">
        <v>1598</v>
      </c>
      <c r="F55" s="70" t="s">
        <v>1599</v>
      </c>
      <c r="G55" s="70" t="s">
        <v>1600</v>
      </c>
      <c r="H55" s="70" t="s">
        <v>1601</v>
      </c>
    </row>
    <row r="56" spans="1:8" ht="18" customHeight="1">
      <c r="A56" s="68" t="s">
        <v>1602</v>
      </c>
      <c r="B56" s="68"/>
      <c r="C56" s="68"/>
      <c r="D56" s="68"/>
      <c r="E56" s="68"/>
      <c r="F56" s="68"/>
      <c r="G56" s="68"/>
      <c r="H56" s="68"/>
    </row>
    <row r="57" spans="1:8" ht="69.75" customHeight="1">
      <c r="A57" s="69" t="s">
        <v>539</v>
      </c>
      <c r="B57" s="70" t="s">
        <v>1603</v>
      </c>
      <c r="C57" s="71">
        <v>8</v>
      </c>
      <c r="D57" s="72" t="s">
        <v>1022</v>
      </c>
      <c r="E57" s="70" t="s">
        <v>1604</v>
      </c>
      <c r="F57" s="70" t="s">
        <v>1605</v>
      </c>
      <c r="G57" s="70" t="s">
        <v>1606</v>
      </c>
      <c r="H57" s="70" t="s">
        <v>1607</v>
      </c>
    </row>
    <row r="58" spans="1:8" ht="69.75" customHeight="1">
      <c r="A58" s="73" t="s">
        <v>539</v>
      </c>
      <c r="B58" s="74" t="s">
        <v>1608</v>
      </c>
      <c r="C58" s="75">
        <v>9</v>
      </c>
      <c r="D58" s="72" t="s">
        <v>1022</v>
      </c>
      <c r="E58" s="74" t="s">
        <v>1609</v>
      </c>
      <c r="F58" s="74" t="s">
        <v>1610</v>
      </c>
      <c r="G58" s="74" t="s">
        <v>1611</v>
      </c>
      <c r="H58" s="74" t="s">
        <v>1612</v>
      </c>
    </row>
    <row r="59" spans="1:8" ht="69.75" customHeight="1">
      <c r="A59" s="69" t="s">
        <v>539</v>
      </c>
      <c r="B59" s="70" t="s">
        <v>1613</v>
      </c>
      <c r="C59" s="71">
        <v>8</v>
      </c>
      <c r="D59" s="72" t="s">
        <v>1022</v>
      </c>
      <c r="E59" s="70" t="s">
        <v>1614</v>
      </c>
      <c r="F59" s="70" t="s">
        <v>1615</v>
      </c>
      <c r="G59" s="70" t="s">
        <v>1616</v>
      </c>
      <c r="H59" s="70" t="s">
        <v>1617</v>
      </c>
    </row>
    <row r="60" spans="1:8" ht="18" customHeight="1">
      <c r="A60" s="68" t="s">
        <v>1618</v>
      </c>
      <c r="B60" s="68"/>
      <c r="C60" s="68"/>
      <c r="D60" s="68"/>
      <c r="E60" s="68"/>
      <c r="F60" s="68"/>
      <c r="G60" s="68"/>
      <c r="H60" s="68"/>
    </row>
    <row r="61" spans="1:8" ht="69.75" customHeight="1">
      <c r="A61" s="69" t="s">
        <v>562</v>
      </c>
      <c r="B61" s="70" t="s">
        <v>1619</v>
      </c>
      <c r="C61" s="71">
        <v>9</v>
      </c>
      <c r="D61" s="72" t="s">
        <v>1022</v>
      </c>
      <c r="E61" s="70" t="s">
        <v>1620</v>
      </c>
      <c r="F61" s="70" t="s">
        <v>1621</v>
      </c>
      <c r="G61" s="70" t="s">
        <v>1622</v>
      </c>
      <c r="H61" s="70" t="s">
        <v>1623</v>
      </c>
    </row>
    <row r="62" spans="1:8" ht="69.75" customHeight="1">
      <c r="A62" s="73" t="s">
        <v>562</v>
      </c>
      <c r="B62" s="74" t="s">
        <v>1624</v>
      </c>
      <c r="C62" s="75">
        <v>8</v>
      </c>
      <c r="D62" s="72" t="s">
        <v>1022</v>
      </c>
      <c r="E62" s="74" t="s">
        <v>1625</v>
      </c>
      <c r="F62" s="74" t="s">
        <v>1626</v>
      </c>
      <c r="G62" s="74" t="s">
        <v>1627</v>
      </c>
      <c r="H62" s="74" t="s">
        <v>1628</v>
      </c>
    </row>
    <row r="63" spans="1:8" ht="18" customHeight="1">
      <c r="A63" s="68" t="s">
        <v>1629</v>
      </c>
      <c r="B63" s="68"/>
      <c r="C63" s="68"/>
      <c r="D63" s="68"/>
      <c r="E63" s="68"/>
      <c r="F63" s="68"/>
      <c r="G63" s="68"/>
      <c r="H63" s="68"/>
    </row>
    <row r="64" spans="1:8" ht="69.75" customHeight="1">
      <c r="A64" s="73" t="s">
        <v>587</v>
      </c>
      <c r="B64" s="74" t="s">
        <v>1630</v>
      </c>
      <c r="C64" s="75">
        <v>8</v>
      </c>
      <c r="D64" s="72" t="s">
        <v>1022</v>
      </c>
      <c r="E64" s="74" t="s">
        <v>1631</v>
      </c>
      <c r="F64" s="74" t="s">
        <v>1632</v>
      </c>
      <c r="G64" s="74" t="s">
        <v>1633</v>
      </c>
      <c r="H64" s="74" t="s">
        <v>1634</v>
      </c>
    </row>
    <row r="65" spans="1:8" ht="69.75" customHeight="1">
      <c r="A65" s="69" t="s">
        <v>587</v>
      </c>
      <c r="B65" s="70" t="s">
        <v>1635</v>
      </c>
      <c r="C65" s="71">
        <v>8</v>
      </c>
      <c r="D65" s="72" t="s">
        <v>1022</v>
      </c>
      <c r="E65" s="70" t="s">
        <v>1636</v>
      </c>
      <c r="F65" s="70" t="s">
        <v>1637</v>
      </c>
      <c r="G65" s="70" t="s">
        <v>1638</v>
      </c>
      <c r="H65" s="70" t="s">
        <v>1639</v>
      </c>
    </row>
    <row r="66" spans="1:8" ht="18" customHeight="1">
      <c r="A66" s="68" t="s">
        <v>1640</v>
      </c>
      <c r="B66" s="68"/>
      <c r="C66" s="68"/>
      <c r="D66" s="68"/>
      <c r="E66" s="68"/>
      <c r="F66" s="68"/>
      <c r="G66" s="68"/>
      <c r="H66" s="68"/>
    </row>
    <row r="67" spans="1:8" ht="69.75" customHeight="1">
      <c r="A67" s="69" t="s">
        <v>608</v>
      </c>
      <c r="B67" s="70" t="s">
        <v>1641</v>
      </c>
      <c r="C67" s="71">
        <v>8</v>
      </c>
      <c r="D67" s="72" t="s">
        <v>1022</v>
      </c>
      <c r="E67" s="70" t="s">
        <v>1642</v>
      </c>
      <c r="F67" s="70" t="s">
        <v>1643</v>
      </c>
      <c r="G67" s="70" t="s">
        <v>1644</v>
      </c>
      <c r="H67" s="70" t="s">
        <v>1645</v>
      </c>
    </row>
    <row r="68" spans="1:8" ht="69.75" customHeight="1">
      <c r="A68" s="73" t="s">
        <v>608</v>
      </c>
      <c r="B68" s="74" t="s">
        <v>1646</v>
      </c>
      <c r="C68" s="75">
        <v>9</v>
      </c>
      <c r="D68" s="72" t="s">
        <v>1022</v>
      </c>
      <c r="E68" s="74" t="s">
        <v>1647</v>
      </c>
      <c r="F68" s="74" t="s">
        <v>1648</v>
      </c>
      <c r="G68" s="74" t="s">
        <v>1649</v>
      </c>
      <c r="H68" s="74" t="s">
        <v>1650</v>
      </c>
    </row>
    <row r="69" spans="1:8" ht="69.75" customHeight="1">
      <c r="A69" s="69" t="s">
        <v>608</v>
      </c>
      <c r="B69" s="70" t="s">
        <v>1651</v>
      </c>
      <c r="C69" s="71">
        <v>9</v>
      </c>
      <c r="D69" s="72" t="s">
        <v>1022</v>
      </c>
      <c r="E69" s="70" t="s">
        <v>1652</v>
      </c>
      <c r="F69" s="70" t="s">
        <v>1653</v>
      </c>
      <c r="G69" s="70" t="s">
        <v>1654</v>
      </c>
      <c r="H69" s="70" t="s">
        <v>1655</v>
      </c>
    </row>
    <row r="70" spans="1:8" ht="69.75" customHeight="1">
      <c r="A70" s="73" t="s">
        <v>608</v>
      </c>
      <c r="B70" s="74" t="s">
        <v>1656</v>
      </c>
      <c r="C70" s="75">
        <v>9</v>
      </c>
      <c r="D70" s="72" t="s">
        <v>1022</v>
      </c>
      <c r="E70" s="74" t="s">
        <v>1657</v>
      </c>
      <c r="F70" s="74" t="s">
        <v>1658</v>
      </c>
      <c r="G70" s="74" t="s">
        <v>1659</v>
      </c>
      <c r="H70" s="74" t="s">
        <v>1660</v>
      </c>
    </row>
  </sheetData>
  <mergeCells count="13">
    <mergeCell ref="A66:H66"/>
    <mergeCell ref="A41:H41"/>
    <mergeCell ref="A48:H48"/>
    <mergeCell ref="A53:H53"/>
    <mergeCell ref="A56:H56"/>
    <mergeCell ref="A60:H60"/>
    <mergeCell ref="A63:H63"/>
    <mergeCell ref="A1:H1"/>
    <mergeCell ref="A2:H2"/>
    <mergeCell ref="A4:H4"/>
    <mergeCell ref="A15:H15"/>
    <mergeCell ref="A25:H25"/>
    <mergeCell ref="A35:H3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
  <sheetViews>
    <sheetView zoomScaleNormal="100" workbookViewId="0">
      <selection activeCell="A2" sqref="A2"/>
    </sheetView>
  </sheetViews>
  <sheetFormatPr defaultColWidth="8.6640625" defaultRowHeight="14.4"/>
  <cols>
    <col min="1" max="1" width="12" customWidth="1"/>
    <col min="2" max="2" width="13.77734375" customWidth="1"/>
    <col min="3" max="3" width="14" customWidth="1"/>
    <col min="4" max="4" width="13.6640625" customWidth="1"/>
    <col min="5" max="5" width="14.21875" customWidth="1"/>
    <col min="6" max="9" width="25" customWidth="1"/>
  </cols>
  <sheetData>
    <row r="1" spans="1:9" ht="14.25" customHeight="1">
      <c r="A1" t="s">
        <v>53</v>
      </c>
      <c r="B1" t="s">
        <v>985</v>
      </c>
      <c r="C1" t="s">
        <v>986</v>
      </c>
      <c r="D1" t="s">
        <v>987</v>
      </c>
      <c r="E1" t="s">
        <v>62</v>
      </c>
      <c r="F1" s="33" t="s">
        <v>65</v>
      </c>
      <c r="G1" s="33" t="s">
        <v>988</v>
      </c>
      <c r="H1" s="33" t="s">
        <v>989</v>
      </c>
      <c r="I1" s="33" t="s">
        <v>990</v>
      </c>
    </row>
    <row r="2" spans="1:9" ht="14.25" customHeight="1">
      <c r="A2" t="s">
        <v>70</v>
      </c>
      <c r="B2" t="s">
        <v>71</v>
      </c>
      <c r="C2" t="s">
        <v>88</v>
      </c>
      <c r="D2" t="s">
        <v>125</v>
      </c>
      <c r="E2" t="s">
        <v>73</v>
      </c>
      <c r="F2" t="s">
        <v>991</v>
      </c>
      <c r="G2" t="s">
        <v>652</v>
      </c>
      <c r="H2" t="s">
        <v>992</v>
      </c>
      <c r="I2" t="s">
        <v>993</v>
      </c>
    </row>
    <row r="3" spans="1:9" ht="14.25" customHeight="1">
      <c r="A3" t="s">
        <v>356</v>
      </c>
      <c r="B3" t="s">
        <v>123</v>
      </c>
      <c r="C3" t="s">
        <v>72</v>
      </c>
      <c r="D3" t="s">
        <v>89</v>
      </c>
      <c r="E3" t="s">
        <v>100</v>
      </c>
      <c r="F3" t="s">
        <v>994</v>
      </c>
      <c r="G3" t="s">
        <v>669</v>
      </c>
      <c r="H3" t="s">
        <v>995</v>
      </c>
      <c r="I3" t="s">
        <v>996</v>
      </c>
    </row>
    <row r="4" spans="1:9" ht="14.25" customHeight="1">
      <c r="A4" t="s">
        <v>382</v>
      </c>
      <c r="B4" t="s">
        <v>99</v>
      </c>
      <c r="C4" t="s">
        <v>78</v>
      </c>
      <c r="D4" t="s">
        <v>74</v>
      </c>
      <c r="E4" t="s">
        <v>997</v>
      </c>
      <c r="F4" t="s">
        <v>998</v>
      </c>
      <c r="G4" t="s">
        <v>727</v>
      </c>
      <c r="H4" t="s">
        <v>999</v>
      </c>
      <c r="I4" t="s">
        <v>1000</v>
      </c>
    </row>
    <row r="5" spans="1:9" ht="14.25" customHeight="1">
      <c r="A5" t="s">
        <v>135</v>
      </c>
      <c r="B5" t="s">
        <v>183</v>
      </c>
      <c r="C5" t="s">
        <v>93</v>
      </c>
      <c r="D5" t="s">
        <v>112</v>
      </c>
      <c r="G5" t="s">
        <v>663</v>
      </c>
      <c r="I5" t="s">
        <v>1001</v>
      </c>
    </row>
    <row r="6" spans="1:9" ht="14.25" customHeight="1">
      <c r="A6" t="s">
        <v>431</v>
      </c>
      <c r="B6" t="s">
        <v>104</v>
      </c>
      <c r="C6" t="s">
        <v>239</v>
      </c>
      <c r="D6" t="s">
        <v>101</v>
      </c>
      <c r="G6" t="s">
        <v>808</v>
      </c>
      <c r="I6" t="s">
        <v>1002</v>
      </c>
    </row>
    <row r="7" spans="1:9" ht="14.25" customHeight="1">
      <c r="A7" t="s">
        <v>465</v>
      </c>
      <c r="B7" t="s">
        <v>138</v>
      </c>
      <c r="G7" t="s">
        <v>780</v>
      </c>
    </row>
    <row r="8" spans="1:9" ht="14.25" customHeight="1">
      <c r="A8" t="s">
        <v>493</v>
      </c>
      <c r="B8" t="s">
        <v>115</v>
      </c>
      <c r="G8" t="s">
        <v>677</v>
      </c>
    </row>
    <row r="9" spans="1:9" ht="14.25" customHeight="1">
      <c r="A9" t="s">
        <v>518</v>
      </c>
      <c r="B9" t="s">
        <v>87</v>
      </c>
      <c r="G9" t="s">
        <v>694</v>
      </c>
    </row>
    <row r="10" spans="1:9" ht="14.25" customHeight="1">
      <c r="A10" t="s">
        <v>540</v>
      </c>
      <c r="B10" t="s">
        <v>157</v>
      </c>
      <c r="G10" t="s">
        <v>684</v>
      </c>
    </row>
    <row r="11" spans="1:9" ht="14.25" customHeight="1">
      <c r="A11" t="s">
        <v>563</v>
      </c>
      <c r="B11" t="s">
        <v>165</v>
      </c>
      <c r="G11" t="s">
        <v>936</v>
      </c>
    </row>
    <row r="12" spans="1:9" ht="14.25" customHeight="1">
      <c r="A12" t="s">
        <v>588</v>
      </c>
      <c r="G12" t="s">
        <v>945</v>
      </c>
    </row>
    <row r="13" spans="1:9" ht="14.25" customHeight="1">
      <c r="A13" t="s">
        <v>215</v>
      </c>
      <c r="G13" t="s">
        <v>849</v>
      </c>
    </row>
    <row r="14" spans="1:9" ht="14.25" customHeight="1">
      <c r="G14" t="s">
        <v>879</v>
      </c>
    </row>
    <row r="15" spans="1:9" ht="14.25" customHeight="1">
      <c r="G15" t="s">
        <v>1003</v>
      </c>
    </row>
    <row r="16" spans="1:9" ht="14.25" customHeight="1">
      <c r="G16" t="s">
        <v>833</v>
      </c>
    </row>
    <row r="17" spans="7:7" ht="14.25" customHeight="1">
      <c r="G17" t="s">
        <v>1004</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Werkbladen</vt:lpstr>
      </vt:variant>
      <vt:variant>
        <vt:i4>6</vt:i4>
      </vt:variant>
      <vt:variant>
        <vt:lpstr>Benoemde bereiken</vt:lpstr>
      </vt:variant>
      <vt:variant>
        <vt:i4>4</vt:i4>
      </vt:variant>
    </vt:vector>
  </HeadingPairs>
  <TitlesOfParts>
    <vt:vector size="10" baseType="lpstr">
      <vt:lpstr>Engine_review_score</vt:lpstr>
      <vt:lpstr>Category_modules</vt:lpstr>
      <vt:lpstr>Context_Flag_Rules</vt:lpstr>
      <vt:lpstr>Engine_weight_explained</vt:lpstr>
      <vt:lpstr>Category_weight_explained</vt:lpstr>
      <vt:lpstr>Settings</vt:lpstr>
      <vt:lpstr>AppliesTo_list</vt:lpstr>
      <vt:lpstr>Evidence_list</vt:lpstr>
      <vt:lpstr>FailureType_List</vt:lpstr>
      <vt:lpstr>Severity_List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Mitch van der Vlist</cp:lastModifiedBy>
  <cp:revision>0</cp:revision>
  <dcterms:created xsi:type="dcterms:W3CDTF">2025-09-02T16:00:08Z</dcterms:created>
  <dcterms:modified xsi:type="dcterms:W3CDTF">2026-04-28T08:25:52Z</dcterms:modified>
  <dc:language>en-US</dc:language>
</cp:coreProperties>
</file>